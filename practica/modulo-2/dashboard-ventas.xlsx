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6"/>
    </font>
    <font>
      <i val="1"/>
      <color rgb="002E4A7D"/>
    </font>
    <font>
      <b val="1"/>
      <color rgb="001F3864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5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zona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'Dashboard'!B21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cat>
            <numRef>
              <f>'Dashboard'!$A$22:$A$24</f>
            </numRef>
          </cat>
          <val>
            <numRef>
              <f>'Dashboard'!$B$22:$B$24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Ingresos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20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Cliente</t>
        </is>
      </c>
      <c r="D1" s="1" t="inlineStr">
        <is>
          <t>Zona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Unidades</t>
        </is>
      </c>
      <c r="H1" s="1" t="inlineStr">
        <is>
          <t>Precio</t>
        </is>
      </c>
      <c r="I1" s="1" t="inlineStr">
        <is>
          <t>Costo unitario</t>
        </is>
      </c>
      <c r="J1" s="1" t="inlineStr">
        <is>
          <t>Importe</t>
        </is>
      </c>
    </row>
    <row r="2">
      <c r="A2" s="2" t="n">
        <v>46307</v>
      </c>
      <c r="B2" t="inlineStr">
        <is>
          <t>Luis</t>
        </is>
      </c>
      <c r="C2" t="inlineStr">
        <is>
          <t>Fénix Ltda.</t>
        </is>
      </c>
      <c r="D2" t="inlineStr">
        <is>
          <t>Norte</t>
        </is>
      </c>
      <c r="E2" t="inlineStr">
        <is>
          <t>Licencia anual</t>
        </is>
      </c>
      <c r="F2" t="inlineStr">
        <is>
          <t>Software</t>
        </is>
      </c>
      <c r="G2" t="n">
        <v>1</v>
      </c>
      <c r="H2" s="3" t="n">
        <v>429.21</v>
      </c>
      <c r="I2" s="3" t="n">
        <v>291.59</v>
      </c>
      <c r="J2" s="3" t="n">
        <v>429.21</v>
      </c>
    </row>
    <row r="3">
      <c r="A3" s="2" t="n">
        <v>46304</v>
      </c>
      <c r="B3" t="inlineStr">
        <is>
          <t>Jorge</t>
        </is>
      </c>
      <c r="C3" t="inlineStr">
        <is>
          <t>Ola S.A.</t>
        </is>
      </c>
      <c r="D3" t="inlineStr">
        <is>
          <t>Norte</t>
        </is>
      </c>
      <c r="E3" t="inlineStr">
        <is>
          <t>Licencia anual</t>
        </is>
      </c>
      <c r="F3" t="inlineStr">
        <is>
          <t>Software</t>
        </is>
      </c>
      <c r="G3" t="n">
        <v>1</v>
      </c>
      <c r="H3" s="3" t="n">
        <v>405.98</v>
      </c>
      <c r="I3" s="3" t="n">
        <v>266.41</v>
      </c>
      <c r="J3" s="3" t="n">
        <v>405.98</v>
      </c>
    </row>
    <row r="4">
      <c r="A4" s="2" t="n">
        <v>46300</v>
      </c>
      <c r="B4" t="inlineStr">
        <is>
          <t>Jorge</t>
        </is>
      </c>
      <c r="C4" t="inlineStr">
        <is>
          <t>Lago Import</t>
        </is>
      </c>
      <c r="D4" t="inlineStr">
        <is>
          <t>Centro</t>
        </is>
      </c>
      <c r="E4" t="inlineStr">
        <is>
          <t>Capacitación</t>
        </is>
      </c>
      <c r="F4" t="inlineStr">
        <is>
          <t>Formación</t>
        </is>
      </c>
      <c r="G4" t="n">
        <v>1</v>
      </c>
      <c r="H4" s="3" t="n">
        <v>323.72</v>
      </c>
      <c r="I4" s="3" t="n">
        <v>226.34</v>
      </c>
      <c r="J4" s="3" t="n">
        <v>323.72</v>
      </c>
    </row>
    <row r="5">
      <c r="A5" s="2" t="n">
        <v>46297</v>
      </c>
      <c r="B5" t="inlineStr">
        <is>
          <t>Luis</t>
        </is>
      </c>
      <c r="C5" t="inlineStr">
        <is>
          <t>Huaca Comercial</t>
        </is>
      </c>
      <c r="D5" t="inlineStr">
        <is>
          <t>Sur</t>
        </is>
      </c>
      <c r="E5" t="inlineStr">
        <is>
          <t>Consultoría (hora)</t>
        </is>
      </c>
      <c r="F5" t="inlineStr">
        <is>
          <t>Servicios</t>
        </is>
      </c>
      <c r="G5" t="n">
        <v>1</v>
      </c>
      <c r="H5" s="3" t="n">
        <v>88.58</v>
      </c>
      <c r="I5" s="3" t="n">
        <v>65.19</v>
      </c>
      <c r="J5" s="3" t="n">
        <v>88.58</v>
      </c>
    </row>
    <row r="6">
      <c r="A6" s="2" t="n">
        <v>46317</v>
      </c>
      <c r="B6" t="inlineStr">
        <is>
          <t>Jorge</t>
        </is>
      </c>
      <c r="C6" t="inlineStr">
        <is>
          <t>Delta Comercial</t>
        </is>
      </c>
      <c r="D6" t="inlineStr">
        <is>
          <t>Centro</t>
        </is>
      </c>
      <c r="E6" t="inlineStr">
        <is>
          <t>Soporte mensual</t>
        </is>
      </c>
      <c r="F6" t="inlineStr">
        <is>
          <t>Servicios</t>
        </is>
      </c>
      <c r="G6" t="n">
        <v>1</v>
      </c>
      <c r="H6" s="3" t="n">
        <v>250.68</v>
      </c>
      <c r="I6" s="3" t="n">
        <v>181.21</v>
      </c>
      <c r="J6" s="3" t="n">
        <v>250.68</v>
      </c>
    </row>
    <row r="7">
      <c r="A7" s="2" t="n">
        <v>46317</v>
      </c>
      <c r="B7" t="inlineStr">
        <is>
          <t>Luis</t>
        </is>
      </c>
      <c r="C7" t="inlineStr">
        <is>
          <t>Mistura Foods</t>
        </is>
      </c>
      <c r="D7" t="inlineStr">
        <is>
          <t>Centro</t>
        </is>
      </c>
      <c r="E7" t="inlineStr">
        <is>
          <t>Soporte mensual</t>
        </is>
      </c>
      <c r="F7" t="inlineStr">
        <is>
          <t>Servicios</t>
        </is>
      </c>
      <c r="G7" t="n">
        <v>1</v>
      </c>
      <c r="H7" s="3" t="n">
        <v>225.93</v>
      </c>
      <c r="I7" s="3" t="n">
        <v>137.62</v>
      </c>
      <c r="J7" s="3" t="n">
        <v>225.93</v>
      </c>
    </row>
    <row r="8">
      <c r="A8" s="2" t="n">
        <v>46310</v>
      </c>
      <c r="B8" t="inlineStr">
        <is>
          <t>Ana</t>
        </is>
      </c>
      <c r="C8" t="inlineStr">
        <is>
          <t>Jade Foods</t>
        </is>
      </c>
      <c r="D8" t="inlineStr">
        <is>
          <t>Centro</t>
        </is>
      </c>
      <c r="E8" t="inlineStr">
        <is>
          <t>Soporte mensual</t>
        </is>
      </c>
      <c r="F8" t="inlineStr">
        <is>
          <t>Servicios</t>
        </is>
      </c>
      <c r="G8" t="n">
        <v>1</v>
      </c>
      <c r="H8" s="3" t="n">
        <v>274.47</v>
      </c>
      <c r="I8" s="3" t="n">
        <v>182.13</v>
      </c>
      <c r="J8" s="3" t="n">
        <v>274.47</v>
      </c>
    </row>
    <row r="9">
      <c r="A9" s="2" t="n">
        <v>46315</v>
      </c>
      <c r="B9" t="inlineStr">
        <is>
          <t>Luis</t>
        </is>
      </c>
      <c r="C9" t="inlineStr">
        <is>
          <t>Lago S.A.C.</t>
        </is>
      </c>
      <c r="D9" t="inlineStr">
        <is>
          <t>Centro</t>
        </is>
      </c>
      <c r="E9" t="inlineStr">
        <is>
          <t>Licencia anual</t>
        </is>
      </c>
      <c r="F9" t="inlineStr">
        <is>
          <t>Software</t>
        </is>
      </c>
      <c r="G9" t="n">
        <v>1</v>
      </c>
      <c r="H9" s="3" t="n">
        <v>492.42</v>
      </c>
      <c r="I9" s="3" t="n">
        <v>335.3</v>
      </c>
      <c r="J9" s="3" t="n">
        <v>492.42</v>
      </c>
    </row>
    <row r="10">
      <c r="A10" s="2" t="n">
        <v>46298</v>
      </c>
      <c r="B10" t="inlineStr">
        <is>
          <t>Jorge</t>
        </is>
      </c>
      <c r="C10" t="inlineStr">
        <is>
          <t>Huaca Group</t>
        </is>
      </c>
      <c r="D10" t="inlineStr">
        <is>
          <t>Norte</t>
        </is>
      </c>
      <c r="E10" t="inlineStr">
        <is>
          <t>Soporte mensual</t>
        </is>
      </c>
      <c r="F10" t="inlineStr">
        <is>
          <t>Servicios</t>
        </is>
      </c>
      <c r="G10" t="n">
        <v>1</v>
      </c>
      <c r="H10" s="3" t="n">
        <v>252.76</v>
      </c>
      <c r="I10" s="3" t="n">
        <v>170.89</v>
      </c>
      <c r="J10" s="3" t="n">
        <v>252.76</v>
      </c>
    </row>
    <row r="11">
      <c r="A11" s="2" t="n">
        <v>46315</v>
      </c>
      <c r="B11" t="inlineStr">
        <is>
          <t>Jorge</t>
        </is>
      </c>
      <c r="C11" t="inlineStr">
        <is>
          <t>Puna Servicios</t>
        </is>
      </c>
      <c r="D11" t="inlineStr">
        <is>
          <t>Norte</t>
        </is>
      </c>
      <c r="E11" t="inlineStr">
        <is>
          <t>Licencia anual</t>
        </is>
      </c>
      <c r="F11" t="inlineStr">
        <is>
          <t>Software</t>
        </is>
      </c>
      <c r="G11" t="n">
        <v>1</v>
      </c>
      <c r="H11" s="3" t="n">
        <v>465.13</v>
      </c>
      <c r="I11" s="3" t="n">
        <v>311.84</v>
      </c>
      <c r="J11" s="3" t="n">
        <v>465.13</v>
      </c>
    </row>
    <row r="12">
      <c r="A12" s="2" t="n">
        <v>46302</v>
      </c>
      <c r="B12" t="inlineStr">
        <is>
          <t>Carla</t>
        </is>
      </c>
      <c r="C12" t="inlineStr">
        <is>
          <t>Ícaro Servicios</t>
        </is>
      </c>
      <c r="D12" t="inlineStr">
        <is>
          <t>Norte</t>
        </is>
      </c>
      <c r="E12" t="inlineStr">
        <is>
          <t>Soporte mensual</t>
        </is>
      </c>
      <c r="F12" t="inlineStr">
        <is>
          <t>Servicios</t>
        </is>
      </c>
      <c r="G12" t="n">
        <v>1</v>
      </c>
      <c r="H12" s="3" t="n">
        <v>257.04</v>
      </c>
      <c r="I12" s="3" t="n">
        <v>157.41</v>
      </c>
      <c r="J12" s="3" t="n">
        <v>257.04</v>
      </c>
    </row>
    <row r="13">
      <c r="A13" s="2" t="n">
        <v>46308</v>
      </c>
      <c r="B13" t="inlineStr">
        <is>
          <t>Carla</t>
        </is>
      </c>
      <c r="C13" t="inlineStr">
        <is>
          <t>Fénix Servicios</t>
        </is>
      </c>
      <c r="D13" t="inlineStr">
        <is>
          <t>Centro</t>
        </is>
      </c>
      <c r="E13" t="inlineStr">
        <is>
          <t>Consultoría (hora)</t>
        </is>
      </c>
      <c r="F13" t="inlineStr">
        <is>
          <t>Servicios</t>
        </is>
      </c>
      <c r="G13" t="n">
        <v>1</v>
      </c>
      <c r="H13" s="3" t="n">
        <v>103.38</v>
      </c>
      <c r="I13" s="3" t="n">
        <v>75.45999999999999</v>
      </c>
      <c r="J13" s="3" t="n">
        <v>103.38</v>
      </c>
    </row>
    <row r="14">
      <c r="A14" s="2" t="n">
        <v>46307</v>
      </c>
      <c r="B14" t="inlineStr">
        <is>
          <t>Luis</t>
        </is>
      </c>
      <c r="C14" t="inlineStr">
        <is>
          <t>Quipu Retail</t>
        </is>
      </c>
      <c r="D14" t="inlineStr">
        <is>
          <t>Norte</t>
        </is>
      </c>
      <c r="E14" t="inlineStr">
        <is>
          <t>Soporte mensual</t>
        </is>
      </c>
      <c r="F14" t="inlineStr">
        <is>
          <t>Servicios</t>
        </is>
      </c>
      <c r="G14" t="n">
        <v>1</v>
      </c>
      <c r="H14" s="3" t="n">
        <v>237.62</v>
      </c>
      <c r="I14" s="3" t="n">
        <v>154.52</v>
      </c>
      <c r="J14" s="3" t="n">
        <v>237.62</v>
      </c>
    </row>
    <row r="15">
      <c r="A15" s="2" t="n">
        <v>46297</v>
      </c>
      <c r="B15" t="inlineStr">
        <is>
          <t>Ana</t>
        </is>
      </c>
      <c r="C15" t="inlineStr">
        <is>
          <t>Río Servicios</t>
        </is>
      </c>
      <c r="D15" t="inlineStr">
        <is>
          <t>Sur</t>
        </is>
      </c>
      <c r="E15" t="inlineStr">
        <is>
          <t>Soporte mensual</t>
        </is>
      </c>
      <c r="F15" t="inlineStr">
        <is>
          <t>Servicios</t>
        </is>
      </c>
      <c r="G15" t="n">
        <v>1</v>
      </c>
      <c r="H15" s="3" t="n">
        <v>244.05</v>
      </c>
      <c r="I15" s="3" t="n">
        <v>177.88</v>
      </c>
      <c r="J15" s="3" t="n">
        <v>244.05</v>
      </c>
    </row>
    <row r="16">
      <c r="A16" s="2" t="n">
        <v>46302</v>
      </c>
      <c r="B16" t="inlineStr">
        <is>
          <t>Ana</t>
        </is>
      </c>
      <c r="C16" t="inlineStr">
        <is>
          <t>Río S.A.C.</t>
        </is>
      </c>
      <c r="D16" t="inlineStr">
        <is>
          <t>Norte</t>
        </is>
      </c>
      <c r="E16" t="inlineStr">
        <is>
          <t>Capacitación</t>
        </is>
      </c>
      <c r="F16" t="inlineStr">
        <is>
          <t>Formación</t>
        </is>
      </c>
      <c r="G16" t="n">
        <v>1</v>
      </c>
      <c r="H16" s="3" t="n">
        <v>331.24</v>
      </c>
      <c r="I16" s="3" t="n">
        <v>200.9</v>
      </c>
      <c r="J16" s="3" t="n">
        <v>331.24</v>
      </c>
    </row>
    <row r="17">
      <c r="A17" s="2" t="n">
        <v>46297</v>
      </c>
      <c r="B17" t="inlineStr">
        <is>
          <t>Jorge</t>
        </is>
      </c>
      <c r="C17" t="inlineStr">
        <is>
          <t>Kora S.A.C.</t>
        </is>
      </c>
      <c r="D17" t="inlineStr">
        <is>
          <t>Sur</t>
        </is>
      </c>
      <c r="E17" t="inlineStr">
        <is>
          <t>Capacitación</t>
        </is>
      </c>
      <c r="F17" t="inlineStr">
        <is>
          <t>Formación</t>
        </is>
      </c>
      <c r="G17" t="n">
        <v>1</v>
      </c>
      <c r="H17" s="3" t="n">
        <v>299.4</v>
      </c>
      <c r="I17" s="3" t="n">
        <v>210.89</v>
      </c>
      <c r="J17" s="3" t="n">
        <v>299.4</v>
      </c>
    </row>
    <row r="18">
      <c r="A18" s="2" t="n">
        <v>46319</v>
      </c>
      <c r="B18" t="inlineStr">
        <is>
          <t>Ana</t>
        </is>
      </c>
      <c r="C18" t="inlineStr">
        <is>
          <t>Andes Tech</t>
        </is>
      </c>
      <c r="D18" t="inlineStr">
        <is>
          <t>Norte</t>
        </is>
      </c>
      <c r="E18" t="inlineStr">
        <is>
          <t>Consultoría (hora)</t>
        </is>
      </c>
      <c r="F18" t="inlineStr">
        <is>
          <t>Servicios</t>
        </is>
      </c>
      <c r="G18" t="n">
        <v>1</v>
      </c>
      <c r="H18" s="3" t="n">
        <v>94.97</v>
      </c>
      <c r="I18" s="3" t="n">
        <v>65.56</v>
      </c>
      <c r="J18" s="3" t="n">
        <v>94.97</v>
      </c>
    </row>
    <row r="19">
      <c r="A19" s="2" t="n">
        <v>46310</v>
      </c>
      <c r="B19" t="inlineStr">
        <is>
          <t>Jorge</t>
        </is>
      </c>
      <c r="C19" t="inlineStr">
        <is>
          <t>Lago Retail</t>
        </is>
      </c>
      <c r="D19" t="inlineStr">
        <is>
          <t>Norte</t>
        </is>
      </c>
      <c r="E19" t="inlineStr">
        <is>
          <t>Licencia anual</t>
        </is>
      </c>
      <c r="F19" t="inlineStr">
        <is>
          <t>Software</t>
        </is>
      </c>
      <c r="G19" t="n">
        <v>1</v>
      </c>
      <c r="H19" s="3" t="n">
        <v>438.15</v>
      </c>
      <c r="I19" s="3" t="n">
        <v>285.21</v>
      </c>
      <c r="J19" s="3" t="n">
        <v>438.15</v>
      </c>
    </row>
    <row r="20">
      <c r="A20" s="2" t="n">
        <v>46310</v>
      </c>
      <c r="B20" t="inlineStr">
        <is>
          <t>Carla</t>
        </is>
      </c>
      <c r="C20" t="inlineStr">
        <is>
          <t>Bahía S.A.</t>
        </is>
      </c>
      <c r="D20" t="inlineStr">
        <is>
          <t>Norte</t>
        </is>
      </c>
      <c r="E20" t="inlineStr">
        <is>
          <t>Licencia anual</t>
        </is>
      </c>
      <c r="F20" t="inlineStr">
        <is>
          <t>Software</t>
        </is>
      </c>
      <c r="G20" t="n">
        <v>1</v>
      </c>
      <c r="H20" s="3" t="n">
        <v>426.59</v>
      </c>
      <c r="I20" s="3" t="n">
        <v>319.21</v>
      </c>
      <c r="J20" s="3" t="n">
        <v>426.59</v>
      </c>
    </row>
    <row r="21">
      <c r="A21" s="2" t="n">
        <v>46315</v>
      </c>
      <c r="B21" t="inlineStr">
        <is>
          <t>Ana</t>
        </is>
      </c>
      <c r="C21" t="inlineStr">
        <is>
          <t>Eco Comercial</t>
        </is>
      </c>
      <c r="D21" t="inlineStr">
        <is>
          <t>Centro</t>
        </is>
      </c>
      <c r="E21" t="inlineStr">
        <is>
          <t>Capacitación</t>
        </is>
      </c>
      <c r="F21" t="inlineStr">
        <is>
          <t>Formación</t>
        </is>
      </c>
      <c r="G21" t="n">
        <v>1</v>
      </c>
      <c r="H21" s="3" t="n">
        <v>300.11</v>
      </c>
      <c r="I21" s="3" t="n">
        <v>213.76</v>
      </c>
      <c r="J21" s="3" t="n">
        <v>300.11</v>
      </c>
    </row>
    <row r="22">
      <c r="A22" s="2" t="n">
        <v>46301</v>
      </c>
      <c r="B22" t="inlineStr">
        <is>
          <t>Luis</t>
        </is>
      </c>
      <c r="C22" t="inlineStr">
        <is>
          <t>Ola Retail</t>
        </is>
      </c>
      <c r="D22" t="inlineStr">
        <is>
          <t>Norte</t>
        </is>
      </c>
      <c r="E22" t="inlineStr">
        <is>
          <t>Consultoría (hora)</t>
        </is>
      </c>
      <c r="F22" t="inlineStr">
        <is>
          <t>Servicios</t>
        </is>
      </c>
      <c r="G22" t="n">
        <v>1</v>
      </c>
      <c r="H22" s="3" t="n">
        <v>102.89</v>
      </c>
      <c r="I22" s="3" t="n">
        <v>74.09999999999999</v>
      </c>
      <c r="J22" s="3" t="n">
        <v>102.89</v>
      </c>
    </row>
    <row r="23">
      <c r="A23" s="2" t="n">
        <v>46299</v>
      </c>
      <c r="B23" t="inlineStr">
        <is>
          <t>Carla</t>
        </is>
      </c>
      <c r="C23" t="inlineStr">
        <is>
          <t>Cóndor Import</t>
        </is>
      </c>
      <c r="D23" t="inlineStr">
        <is>
          <t>Centro</t>
        </is>
      </c>
      <c r="E23" t="inlineStr">
        <is>
          <t>Soporte mensual</t>
        </is>
      </c>
      <c r="F23" t="inlineStr">
        <is>
          <t>Servicios</t>
        </is>
      </c>
      <c r="G23" t="n">
        <v>1</v>
      </c>
      <c r="H23" s="3" t="n">
        <v>250.07</v>
      </c>
      <c r="I23" s="3" t="n">
        <v>159.33</v>
      </c>
      <c r="J23" s="3" t="n">
        <v>250.07</v>
      </c>
    </row>
    <row r="24">
      <c r="A24" s="2" t="n">
        <v>46321</v>
      </c>
      <c r="B24" t="inlineStr">
        <is>
          <t>Carla</t>
        </is>
      </c>
      <c r="C24" t="inlineStr">
        <is>
          <t>Bahía Logística</t>
        </is>
      </c>
      <c r="D24" t="inlineStr">
        <is>
          <t>Sur</t>
        </is>
      </c>
      <c r="E24" t="inlineStr">
        <is>
          <t>Capacitación</t>
        </is>
      </c>
      <c r="F24" t="inlineStr">
        <is>
          <t>Formación</t>
        </is>
      </c>
      <c r="G24" t="n">
        <v>1</v>
      </c>
      <c r="H24" s="3" t="n">
        <v>289.53</v>
      </c>
      <c r="I24" s="3" t="n">
        <v>187.72</v>
      </c>
      <c r="J24" s="3" t="n">
        <v>289.53</v>
      </c>
    </row>
    <row r="25">
      <c r="A25" s="2" t="n">
        <v>46311</v>
      </c>
      <c r="B25" t="inlineStr">
        <is>
          <t>Jorge</t>
        </is>
      </c>
      <c r="C25" t="inlineStr">
        <is>
          <t>Sol Ltda.</t>
        </is>
      </c>
      <c r="D25" t="inlineStr">
        <is>
          <t>Norte</t>
        </is>
      </c>
      <c r="E25" t="inlineStr">
        <is>
          <t>Soporte mensual</t>
        </is>
      </c>
      <c r="F25" t="inlineStr">
        <is>
          <t>Servicios</t>
        </is>
      </c>
      <c r="G25" t="n">
        <v>1</v>
      </c>
      <c r="H25" s="3" t="n">
        <v>236.48</v>
      </c>
      <c r="I25" s="3" t="n">
        <v>160.59</v>
      </c>
      <c r="J25" s="3" t="n">
        <v>236.48</v>
      </c>
    </row>
    <row r="26">
      <c r="A26" s="2" t="n">
        <v>46319</v>
      </c>
      <c r="B26" t="inlineStr">
        <is>
          <t>Luis</t>
        </is>
      </c>
      <c r="C26" t="inlineStr">
        <is>
          <t>Kora Group</t>
        </is>
      </c>
      <c r="D26" t="inlineStr">
        <is>
          <t>Norte</t>
        </is>
      </c>
      <c r="E26" t="inlineStr">
        <is>
          <t>Consultoría (hora)</t>
        </is>
      </c>
      <c r="F26" t="inlineStr">
        <is>
          <t>Servicios</t>
        </is>
      </c>
      <c r="G26" t="n">
        <v>1</v>
      </c>
      <c r="H26" s="3" t="n">
        <v>90.48999999999999</v>
      </c>
      <c r="I26" s="3" t="n">
        <v>67.14</v>
      </c>
      <c r="J26" s="3" t="n">
        <v>90.48999999999999</v>
      </c>
    </row>
    <row r="27">
      <c r="A27" s="2" t="n">
        <v>46304</v>
      </c>
      <c r="B27" t="inlineStr">
        <is>
          <t>Carla</t>
        </is>
      </c>
      <c r="C27" t="inlineStr">
        <is>
          <t>Eco Group</t>
        </is>
      </c>
      <c r="D27" t="inlineStr">
        <is>
          <t>Norte</t>
        </is>
      </c>
      <c r="E27" t="inlineStr">
        <is>
          <t>Licencia anual</t>
        </is>
      </c>
      <c r="F27" t="inlineStr">
        <is>
          <t>Software</t>
        </is>
      </c>
      <c r="G27" t="n">
        <v>1</v>
      </c>
      <c r="H27" s="3" t="n">
        <v>431.22</v>
      </c>
      <c r="I27" s="3" t="n">
        <v>315.21</v>
      </c>
      <c r="J27" s="3" t="n">
        <v>431.22</v>
      </c>
    </row>
    <row r="28">
      <c r="A28" s="2" t="n">
        <v>46305</v>
      </c>
      <c r="B28" t="inlineStr">
        <is>
          <t>Carla</t>
        </is>
      </c>
      <c r="C28" t="inlineStr">
        <is>
          <t>Río Logística</t>
        </is>
      </c>
      <c r="D28" t="inlineStr">
        <is>
          <t>Centro</t>
        </is>
      </c>
      <c r="E28" t="inlineStr">
        <is>
          <t>Licencia anual</t>
        </is>
      </c>
      <c r="F28" t="inlineStr">
        <is>
          <t>Software</t>
        </is>
      </c>
      <c r="G28" t="n">
        <v>1</v>
      </c>
      <c r="H28" s="3" t="n">
        <v>468.42</v>
      </c>
      <c r="I28" s="3" t="n">
        <v>296.09</v>
      </c>
      <c r="J28" s="3" t="n">
        <v>468.42</v>
      </c>
    </row>
    <row r="29">
      <c r="A29" s="2" t="n">
        <v>46300</v>
      </c>
      <c r="B29" t="inlineStr">
        <is>
          <t>Carla</t>
        </is>
      </c>
      <c r="C29" t="inlineStr">
        <is>
          <t>Tika Foods</t>
        </is>
      </c>
      <c r="D29" t="inlineStr">
        <is>
          <t>Centro</t>
        </is>
      </c>
      <c r="E29" t="inlineStr">
        <is>
          <t>Soporte mensual</t>
        </is>
      </c>
      <c r="F29" t="inlineStr">
        <is>
          <t>Servicios</t>
        </is>
      </c>
      <c r="G29" t="n">
        <v>1</v>
      </c>
      <c r="H29" s="3" t="n">
        <v>259.16</v>
      </c>
      <c r="I29" s="3" t="n">
        <v>182.48</v>
      </c>
      <c r="J29" s="3" t="n">
        <v>259.16</v>
      </c>
    </row>
    <row r="30">
      <c r="A30" s="2" t="n">
        <v>46311</v>
      </c>
      <c r="B30" t="inlineStr">
        <is>
          <t>Ana</t>
        </is>
      </c>
      <c r="C30" t="inlineStr">
        <is>
          <t>Delta Tech</t>
        </is>
      </c>
      <c r="D30" t="inlineStr">
        <is>
          <t>Centro</t>
        </is>
      </c>
      <c r="E30" t="inlineStr">
        <is>
          <t>Licencia anual</t>
        </is>
      </c>
      <c r="F30" t="inlineStr">
        <is>
          <t>Software</t>
        </is>
      </c>
      <c r="G30" t="n">
        <v>1</v>
      </c>
      <c r="H30" s="3" t="n">
        <v>417.45</v>
      </c>
      <c r="I30" s="3" t="n">
        <v>263.01</v>
      </c>
      <c r="J30" s="3" t="n">
        <v>417.45</v>
      </c>
    </row>
    <row r="31">
      <c r="A31" s="2" t="n">
        <v>46314</v>
      </c>
      <c r="B31" t="inlineStr">
        <is>
          <t>Ana</t>
        </is>
      </c>
      <c r="C31" t="inlineStr">
        <is>
          <t>Fénix Retail</t>
        </is>
      </c>
      <c r="D31" t="inlineStr">
        <is>
          <t>Sur</t>
        </is>
      </c>
      <c r="E31" t="inlineStr">
        <is>
          <t>Consultoría (hora)</t>
        </is>
      </c>
      <c r="F31" t="inlineStr">
        <is>
          <t>Servicios</t>
        </is>
      </c>
      <c r="G31" t="n">
        <v>1</v>
      </c>
      <c r="H31" s="3" t="n">
        <v>99.95</v>
      </c>
      <c r="I31" s="3" t="n">
        <v>66.23</v>
      </c>
      <c r="J31" s="3" t="n">
        <v>99.95</v>
      </c>
    </row>
    <row r="32">
      <c r="A32" s="2" t="n">
        <v>46307</v>
      </c>
      <c r="B32" t="inlineStr">
        <is>
          <t>Carla</t>
        </is>
      </c>
      <c r="C32" t="inlineStr">
        <is>
          <t>Gama Logística</t>
        </is>
      </c>
      <c r="D32" t="inlineStr">
        <is>
          <t>Centro</t>
        </is>
      </c>
      <c r="E32" t="inlineStr">
        <is>
          <t>Licencia anual</t>
        </is>
      </c>
      <c r="F32" t="inlineStr">
        <is>
          <t>Software</t>
        </is>
      </c>
      <c r="G32" t="n">
        <v>1</v>
      </c>
      <c r="H32" s="3" t="n">
        <v>476.03</v>
      </c>
      <c r="I32" s="3" t="n">
        <v>327.04</v>
      </c>
      <c r="J32" s="3" t="n">
        <v>476.03</v>
      </c>
    </row>
    <row r="33">
      <c r="A33" s="2" t="n">
        <v>46318</v>
      </c>
      <c r="B33" t="inlineStr">
        <is>
          <t>Luis</t>
        </is>
      </c>
      <c r="C33" t="inlineStr">
        <is>
          <t>Jade Retail</t>
        </is>
      </c>
      <c r="D33" t="inlineStr">
        <is>
          <t>Norte</t>
        </is>
      </c>
      <c r="E33" t="inlineStr">
        <is>
          <t>Licencia anual</t>
        </is>
      </c>
      <c r="F33" t="inlineStr">
        <is>
          <t>Software</t>
        </is>
      </c>
      <c r="G33" t="n">
        <v>1</v>
      </c>
      <c r="H33" s="3" t="n">
        <v>455.7</v>
      </c>
      <c r="I33" s="3" t="n">
        <v>274.59</v>
      </c>
      <c r="J33" s="3" t="n">
        <v>455.7</v>
      </c>
    </row>
    <row r="34">
      <c r="A34" s="2" t="n">
        <v>46309</v>
      </c>
      <c r="B34" t="inlineStr">
        <is>
          <t>Luis</t>
        </is>
      </c>
      <c r="C34" t="inlineStr">
        <is>
          <t>Puna S.A.C.</t>
        </is>
      </c>
      <c r="D34" t="inlineStr">
        <is>
          <t>Norte</t>
        </is>
      </c>
      <c r="E34" t="inlineStr">
        <is>
          <t>Soporte mensual</t>
        </is>
      </c>
      <c r="F34" t="inlineStr">
        <is>
          <t>Servicios</t>
        </is>
      </c>
      <c r="G34" t="n">
        <v>1</v>
      </c>
      <c r="H34" s="3" t="n">
        <v>264.89</v>
      </c>
      <c r="I34" s="3" t="n">
        <v>194.59</v>
      </c>
      <c r="J34" s="3" t="n">
        <v>264.89</v>
      </c>
    </row>
    <row r="35">
      <c r="A35" s="2" t="n">
        <v>46302</v>
      </c>
      <c r="B35" t="inlineStr">
        <is>
          <t>Carla</t>
        </is>
      </c>
      <c r="C35" t="inlineStr">
        <is>
          <t>Nexo Servicios</t>
        </is>
      </c>
      <c r="D35" t="inlineStr">
        <is>
          <t>Sur</t>
        </is>
      </c>
      <c r="E35" t="inlineStr">
        <is>
          <t>Licencia anual</t>
        </is>
      </c>
      <c r="F35" t="inlineStr">
        <is>
          <t>Software</t>
        </is>
      </c>
      <c r="G35" t="n">
        <v>1</v>
      </c>
      <c r="H35" s="3" t="n">
        <v>476.32</v>
      </c>
      <c r="I35" s="3" t="n">
        <v>336.54</v>
      </c>
      <c r="J35" s="3" t="n">
        <v>476.32</v>
      </c>
    </row>
    <row r="36">
      <c r="A36" s="2" t="n">
        <v>46313</v>
      </c>
      <c r="B36" t="inlineStr">
        <is>
          <t>Jorge</t>
        </is>
      </c>
      <c r="C36" t="inlineStr">
        <is>
          <t>Ícaro Group</t>
        </is>
      </c>
      <c r="D36" t="inlineStr">
        <is>
          <t>Norte</t>
        </is>
      </c>
      <c r="E36" t="inlineStr">
        <is>
          <t>Consultoría (hora)</t>
        </is>
      </c>
      <c r="F36" t="inlineStr">
        <is>
          <t>Servicios</t>
        </is>
      </c>
      <c r="G36" t="n">
        <v>1</v>
      </c>
      <c r="H36" s="3" t="n">
        <v>103.25</v>
      </c>
      <c r="I36" s="3" t="n">
        <v>72.62</v>
      </c>
      <c r="J36" s="3" t="n">
        <v>103.25</v>
      </c>
    </row>
    <row r="37">
      <c r="A37" s="2" t="n">
        <v>46317</v>
      </c>
      <c r="B37" t="inlineStr">
        <is>
          <t>Jorge</t>
        </is>
      </c>
      <c r="C37" t="inlineStr">
        <is>
          <t>Bahía Foods</t>
        </is>
      </c>
      <c r="D37" t="inlineStr">
        <is>
          <t>Sur</t>
        </is>
      </c>
      <c r="E37" t="inlineStr">
        <is>
          <t>Soporte mensual</t>
        </is>
      </c>
      <c r="F37" t="inlineStr">
        <is>
          <t>Servicios</t>
        </is>
      </c>
      <c r="G37" t="n">
        <v>1</v>
      </c>
      <c r="H37" s="3" t="n">
        <v>235.6</v>
      </c>
      <c r="I37" s="3" t="n">
        <v>162.53</v>
      </c>
      <c r="J37" s="3" t="n">
        <v>235.6</v>
      </c>
    </row>
    <row r="38">
      <c r="A38" s="2" t="n">
        <v>46298</v>
      </c>
      <c r="B38" t="inlineStr">
        <is>
          <t>Carla</t>
        </is>
      </c>
      <c r="C38" t="inlineStr">
        <is>
          <t>Tika S.A.</t>
        </is>
      </c>
      <c r="D38" t="inlineStr">
        <is>
          <t>Sur</t>
        </is>
      </c>
      <c r="E38" t="inlineStr">
        <is>
          <t>Capacitación</t>
        </is>
      </c>
      <c r="F38" t="inlineStr">
        <is>
          <t>Formación</t>
        </is>
      </c>
      <c r="G38" t="n">
        <v>1</v>
      </c>
      <c r="H38" s="3" t="n">
        <v>292.59</v>
      </c>
      <c r="I38" s="3" t="n">
        <v>191.17</v>
      </c>
      <c r="J38" s="3" t="n">
        <v>292.59</v>
      </c>
    </row>
    <row r="39">
      <c r="A39" s="2" t="n">
        <v>46305</v>
      </c>
      <c r="B39" t="inlineStr">
        <is>
          <t>Luis</t>
        </is>
      </c>
      <c r="C39" t="inlineStr">
        <is>
          <t>Delta Group</t>
        </is>
      </c>
      <c r="D39" t="inlineStr">
        <is>
          <t>Norte</t>
        </is>
      </c>
      <c r="E39" t="inlineStr">
        <is>
          <t>Capacitación</t>
        </is>
      </c>
      <c r="F39" t="inlineStr">
        <is>
          <t>Formación</t>
        </is>
      </c>
      <c r="G39" t="n">
        <v>1</v>
      </c>
      <c r="H39" s="3" t="n">
        <v>331.94</v>
      </c>
      <c r="I39" s="3" t="n">
        <v>235.05</v>
      </c>
      <c r="J39" s="3" t="n">
        <v>331.94</v>
      </c>
    </row>
    <row r="40">
      <c r="A40" s="2" t="n">
        <v>46311</v>
      </c>
      <c r="B40" t="inlineStr">
        <is>
          <t>Jorge</t>
        </is>
      </c>
      <c r="C40" t="inlineStr">
        <is>
          <t>Ola Comercial</t>
        </is>
      </c>
      <c r="D40" t="inlineStr">
        <is>
          <t>Norte</t>
        </is>
      </c>
      <c r="E40" t="inlineStr">
        <is>
          <t>Licencia anual</t>
        </is>
      </c>
      <c r="F40" t="inlineStr">
        <is>
          <t>Software</t>
        </is>
      </c>
      <c r="G40" t="n">
        <v>1</v>
      </c>
      <c r="H40" s="3" t="n">
        <v>437.9</v>
      </c>
      <c r="I40" s="3" t="n">
        <v>264.69</v>
      </c>
      <c r="J40" s="3" t="n">
        <v>437.9</v>
      </c>
    </row>
    <row r="41">
      <c r="A41" s="2" t="n">
        <v>46306</v>
      </c>
      <c r="B41" t="inlineStr">
        <is>
          <t>Jorge</t>
        </is>
      </c>
      <c r="C41" t="inlineStr">
        <is>
          <t>Fénix Group</t>
        </is>
      </c>
      <c r="D41" t="inlineStr">
        <is>
          <t>Sur</t>
        </is>
      </c>
      <c r="E41" t="inlineStr">
        <is>
          <t>Licencia anual</t>
        </is>
      </c>
      <c r="F41" t="inlineStr">
        <is>
          <t>Software</t>
        </is>
      </c>
      <c r="G41" t="n">
        <v>1</v>
      </c>
      <c r="H41" s="3" t="n">
        <v>421.14</v>
      </c>
      <c r="I41" s="3" t="n">
        <v>294.84</v>
      </c>
      <c r="J41" s="3" t="n">
        <v>421.14</v>
      </c>
    </row>
    <row r="42">
      <c r="A42" s="2" t="n">
        <v>46303</v>
      </c>
      <c r="B42" t="inlineStr">
        <is>
          <t>Ana</t>
        </is>
      </c>
      <c r="C42" t="inlineStr">
        <is>
          <t>Jade Servicios</t>
        </is>
      </c>
      <c r="D42" t="inlineStr">
        <is>
          <t>Norte</t>
        </is>
      </c>
      <c r="E42" t="inlineStr">
        <is>
          <t>Capacitación</t>
        </is>
      </c>
      <c r="F42" t="inlineStr">
        <is>
          <t>Formación</t>
        </is>
      </c>
      <c r="G42" t="n">
        <v>1</v>
      </c>
      <c r="H42" s="3" t="n">
        <v>344.59</v>
      </c>
      <c r="I42" s="3" t="n">
        <v>211.76</v>
      </c>
      <c r="J42" s="3" t="n">
        <v>344.59</v>
      </c>
    </row>
    <row r="43">
      <c r="A43" s="2" t="n">
        <v>46318</v>
      </c>
      <c r="B43" t="inlineStr">
        <is>
          <t>Jorge</t>
        </is>
      </c>
      <c r="C43" t="inlineStr">
        <is>
          <t>Fénix Tech</t>
        </is>
      </c>
      <c r="D43" t="inlineStr">
        <is>
          <t>Sur</t>
        </is>
      </c>
      <c r="E43" t="inlineStr">
        <is>
          <t>Consultoría (hora)</t>
        </is>
      </c>
      <c r="F43" t="inlineStr">
        <is>
          <t>Servicios</t>
        </is>
      </c>
      <c r="G43" t="n">
        <v>1</v>
      </c>
      <c r="H43" s="3" t="n">
        <v>92.45999999999999</v>
      </c>
      <c r="I43" s="3" t="n">
        <v>67.25</v>
      </c>
      <c r="J43" s="3" t="n">
        <v>92.45999999999999</v>
      </c>
    </row>
    <row r="44">
      <c r="A44" s="2" t="n">
        <v>46312</v>
      </c>
      <c r="B44" t="inlineStr">
        <is>
          <t>Carla</t>
        </is>
      </c>
      <c r="C44" t="inlineStr">
        <is>
          <t>Mistura Servicios</t>
        </is>
      </c>
      <c r="D44" t="inlineStr">
        <is>
          <t>Centro</t>
        </is>
      </c>
      <c r="E44" t="inlineStr">
        <is>
          <t>Consultoría (hora)</t>
        </is>
      </c>
      <c r="F44" t="inlineStr">
        <is>
          <t>Servicios</t>
        </is>
      </c>
      <c r="G44" t="n">
        <v>1</v>
      </c>
      <c r="H44" s="3" t="n">
        <v>89.69</v>
      </c>
      <c r="I44" s="3" t="n">
        <v>66.18000000000001</v>
      </c>
      <c r="J44" s="3" t="n">
        <v>89.69</v>
      </c>
    </row>
    <row r="45">
      <c r="A45" s="2" t="n">
        <v>46312</v>
      </c>
      <c r="B45" t="inlineStr">
        <is>
          <t>Luis</t>
        </is>
      </c>
      <c r="C45" t="inlineStr">
        <is>
          <t>Cóndor Foods</t>
        </is>
      </c>
      <c r="D45" t="inlineStr">
        <is>
          <t>Norte</t>
        </is>
      </c>
      <c r="E45" t="inlineStr">
        <is>
          <t>Capacitación</t>
        </is>
      </c>
      <c r="F45" t="inlineStr">
        <is>
          <t>Formación</t>
        </is>
      </c>
      <c r="G45" t="n">
        <v>1</v>
      </c>
      <c r="H45" s="3" t="n">
        <v>320.05</v>
      </c>
      <c r="I45" s="3" t="n">
        <v>210.7</v>
      </c>
      <c r="J45" s="3" t="n">
        <v>320.05</v>
      </c>
    </row>
    <row r="46">
      <c r="A46" s="2" t="n">
        <v>46322</v>
      </c>
      <c r="B46" t="inlineStr">
        <is>
          <t>Luis</t>
        </is>
      </c>
      <c r="C46" t="inlineStr">
        <is>
          <t>Río Ltda.</t>
        </is>
      </c>
      <c r="D46" t="inlineStr">
        <is>
          <t>Sur</t>
        </is>
      </c>
      <c r="E46" t="inlineStr">
        <is>
          <t>Licencia anual</t>
        </is>
      </c>
      <c r="F46" t="inlineStr">
        <is>
          <t>Software</t>
        </is>
      </c>
      <c r="G46" t="n">
        <v>1</v>
      </c>
      <c r="H46" s="3" t="n">
        <v>446.37</v>
      </c>
      <c r="I46" s="3" t="n">
        <v>325.06</v>
      </c>
      <c r="J46" s="3" t="n">
        <v>446.37</v>
      </c>
    </row>
    <row r="47">
      <c r="A47" s="2" t="n">
        <v>46308</v>
      </c>
      <c r="B47" t="inlineStr">
        <is>
          <t>Jorge</t>
        </is>
      </c>
      <c r="C47" t="inlineStr">
        <is>
          <t>Ícaro Import</t>
        </is>
      </c>
      <c r="D47" t="inlineStr">
        <is>
          <t>Norte</t>
        </is>
      </c>
      <c r="E47" t="inlineStr">
        <is>
          <t>Licencia anual</t>
        </is>
      </c>
      <c r="F47" t="inlineStr">
        <is>
          <t>Software</t>
        </is>
      </c>
      <c r="G47" t="n">
        <v>1</v>
      </c>
      <c r="H47" s="3" t="n">
        <v>453.42</v>
      </c>
      <c r="I47" s="3" t="n">
        <v>323.83</v>
      </c>
      <c r="J47" s="3" t="n">
        <v>453.42</v>
      </c>
    </row>
    <row r="48">
      <c r="A48" s="2" t="n">
        <v>46317</v>
      </c>
      <c r="B48" t="inlineStr">
        <is>
          <t>Carla</t>
        </is>
      </c>
      <c r="C48" t="inlineStr">
        <is>
          <t>Kora S.A.</t>
        </is>
      </c>
      <c r="D48" t="inlineStr">
        <is>
          <t>Centro</t>
        </is>
      </c>
      <c r="E48" t="inlineStr">
        <is>
          <t>Soporte mensual</t>
        </is>
      </c>
      <c r="F48" t="inlineStr">
        <is>
          <t>Servicios</t>
        </is>
      </c>
      <c r="G48" t="n">
        <v>1</v>
      </c>
      <c r="H48" s="3" t="n">
        <v>273.62</v>
      </c>
      <c r="I48" s="3" t="n">
        <v>186.9</v>
      </c>
      <c r="J48" s="3" t="n">
        <v>273.62</v>
      </c>
    </row>
    <row r="49">
      <c r="A49" s="2" t="n">
        <v>46320</v>
      </c>
      <c r="B49" t="inlineStr">
        <is>
          <t>Jorge</t>
        </is>
      </c>
      <c r="C49" t="inlineStr">
        <is>
          <t>Eco Retail</t>
        </is>
      </c>
      <c r="D49" t="inlineStr">
        <is>
          <t>Centro</t>
        </is>
      </c>
      <c r="E49" t="inlineStr">
        <is>
          <t>Consultoría (hora)</t>
        </is>
      </c>
      <c r="F49" t="inlineStr">
        <is>
          <t>Servicios</t>
        </is>
      </c>
      <c r="G49" t="n">
        <v>1</v>
      </c>
      <c r="H49" s="3" t="n">
        <v>99.98</v>
      </c>
      <c r="I49" s="3" t="n">
        <v>60.24</v>
      </c>
      <c r="J49" s="3" t="n">
        <v>99.98</v>
      </c>
    </row>
    <row r="50">
      <c r="A50" s="2" t="n">
        <v>46311</v>
      </c>
      <c r="B50" t="inlineStr">
        <is>
          <t>Luis</t>
        </is>
      </c>
      <c r="C50" t="inlineStr">
        <is>
          <t>Tika S.A.C.</t>
        </is>
      </c>
      <c r="D50" t="inlineStr">
        <is>
          <t>Norte</t>
        </is>
      </c>
      <c r="E50" t="inlineStr">
        <is>
          <t>Consultoría (hora)</t>
        </is>
      </c>
      <c r="F50" t="inlineStr">
        <is>
          <t>Servicios</t>
        </is>
      </c>
      <c r="G50" t="n">
        <v>1</v>
      </c>
      <c r="H50" s="3" t="n">
        <v>97.52</v>
      </c>
      <c r="I50" s="3" t="n">
        <v>61</v>
      </c>
      <c r="J50" s="3" t="n">
        <v>97.52</v>
      </c>
    </row>
    <row r="51">
      <c r="A51" s="2" t="n">
        <v>46321</v>
      </c>
      <c r="B51" t="inlineStr">
        <is>
          <t>Carla</t>
        </is>
      </c>
      <c r="C51" t="inlineStr">
        <is>
          <t>Sol Servicios</t>
        </is>
      </c>
      <c r="D51" t="inlineStr">
        <is>
          <t>Centro</t>
        </is>
      </c>
      <c r="E51" t="inlineStr">
        <is>
          <t>Capacitación</t>
        </is>
      </c>
      <c r="F51" t="inlineStr">
        <is>
          <t>Formación</t>
        </is>
      </c>
      <c r="G51" t="n">
        <v>1</v>
      </c>
      <c r="H51" s="3" t="n">
        <v>304.12</v>
      </c>
      <c r="I51" s="3" t="n">
        <v>184.57</v>
      </c>
      <c r="J51" s="3" t="n">
        <v>304.12</v>
      </c>
    </row>
    <row r="52">
      <c r="A52" s="2" t="n">
        <v>46305</v>
      </c>
      <c r="B52" t="inlineStr">
        <is>
          <t>Jorge</t>
        </is>
      </c>
      <c r="C52" t="inlineStr">
        <is>
          <t>Jade Group</t>
        </is>
      </c>
      <c r="D52" t="inlineStr">
        <is>
          <t>Norte</t>
        </is>
      </c>
      <c r="E52" t="inlineStr">
        <is>
          <t>Consultoría (hora)</t>
        </is>
      </c>
      <c r="F52" t="inlineStr">
        <is>
          <t>Servicios</t>
        </is>
      </c>
      <c r="G52" t="n">
        <v>1</v>
      </c>
      <c r="H52" s="3" t="n">
        <v>93.26000000000001</v>
      </c>
      <c r="I52" s="3" t="n">
        <v>64.73</v>
      </c>
      <c r="J52" s="3" t="n">
        <v>93.26000000000001</v>
      </c>
    </row>
    <row r="53">
      <c r="A53" s="2" t="n">
        <v>46297</v>
      </c>
      <c r="B53" t="inlineStr">
        <is>
          <t>Jorge</t>
        </is>
      </c>
      <c r="C53" t="inlineStr">
        <is>
          <t>Nexo Tech</t>
        </is>
      </c>
      <c r="D53" t="inlineStr">
        <is>
          <t>Centro</t>
        </is>
      </c>
      <c r="E53" t="inlineStr">
        <is>
          <t>Consultoría (hora)</t>
        </is>
      </c>
      <c r="F53" t="inlineStr">
        <is>
          <t>Servicios</t>
        </is>
      </c>
      <c r="G53" t="n">
        <v>1</v>
      </c>
      <c r="H53" s="3" t="n">
        <v>88.31999999999999</v>
      </c>
      <c r="I53" s="3" t="n">
        <v>56.43</v>
      </c>
      <c r="J53" s="3" t="n">
        <v>88.31999999999999</v>
      </c>
    </row>
    <row r="54">
      <c r="A54" s="2" t="n">
        <v>46306</v>
      </c>
      <c r="B54" t="inlineStr">
        <is>
          <t>Jorge</t>
        </is>
      </c>
      <c r="C54" t="inlineStr">
        <is>
          <t>Quipu Import</t>
        </is>
      </c>
      <c r="D54" t="inlineStr">
        <is>
          <t>Centro</t>
        </is>
      </c>
      <c r="E54" t="inlineStr">
        <is>
          <t>Licencia anual</t>
        </is>
      </c>
      <c r="F54" t="inlineStr">
        <is>
          <t>Software</t>
        </is>
      </c>
      <c r="G54" t="n">
        <v>1</v>
      </c>
      <c r="H54" s="3" t="n">
        <v>443.15</v>
      </c>
      <c r="I54" s="3" t="n">
        <v>309.66</v>
      </c>
      <c r="J54" s="3" t="n">
        <v>443.15</v>
      </c>
    </row>
    <row r="55">
      <c r="A55" s="2" t="n">
        <v>46322</v>
      </c>
      <c r="B55" t="inlineStr">
        <is>
          <t>Luis</t>
        </is>
      </c>
      <c r="C55" t="inlineStr">
        <is>
          <t>Delta Ltda.</t>
        </is>
      </c>
      <c r="D55" t="inlineStr">
        <is>
          <t>Sur</t>
        </is>
      </c>
      <c r="E55" t="inlineStr">
        <is>
          <t>Licencia anual</t>
        </is>
      </c>
      <c r="F55" t="inlineStr">
        <is>
          <t>Software</t>
        </is>
      </c>
      <c r="G55" t="n">
        <v>1</v>
      </c>
      <c r="H55" s="3" t="n">
        <v>449.32</v>
      </c>
      <c r="I55" s="3" t="n">
        <v>332.94</v>
      </c>
      <c r="J55" s="3" t="n">
        <v>449.32</v>
      </c>
    </row>
    <row r="56">
      <c r="A56" s="2" t="n">
        <v>46299</v>
      </c>
      <c r="B56" t="inlineStr">
        <is>
          <t>Carla</t>
        </is>
      </c>
      <c r="C56" t="inlineStr">
        <is>
          <t>Río Retail</t>
        </is>
      </c>
      <c r="D56" t="inlineStr">
        <is>
          <t>Norte</t>
        </is>
      </c>
      <c r="E56" t="inlineStr">
        <is>
          <t>Capacitación</t>
        </is>
      </c>
      <c r="F56" t="inlineStr">
        <is>
          <t>Formación</t>
        </is>
      </c>
      <c r="G56" t="n">
        <v>1</v>
      </c>
      <c r="H56" s="3" t="n">
        <v>338.48</v>
      </c>
      <c r="I56" s="3" t="n">
        <v>245.52</v>
      </c>
      <c r="J56" s="3" t="n">
        <v>338.48</v>
      </c>
    </row>
    <row r="57">
      <c r="A57" s="2" t="n">
        <v>46319</v>
      </c>
      <c r="B57" t="inlineStr">
        <is>
          <t>Carla</t>
        </is>
      </c>
      <c r="C57" t="inlineStr">
        <is>
          <t>Cóndor S.A.</t>
        </is>
      </c>
      <c r="D57" t="inlineStr">
        <is>
          <t>Sur</t>
        </is>
      </c>
      <c r="E57" t="inlineStr">
        <is>
          <t>Soporte mensual</t>
        </is>
      </c>
      <c r="F57" t="inlineStr">
        <is>
          <t>Servicios</t>
        </is>
      </c>
      <c r="G57" t="n">
        <v>1</v>
      </c>
      <c r="H57" s="3" t="n">
        <v>268.42</v>
      </c>
      <c r="I57" s="3" t="n">
        <v>187.34</v>
      </c>
      <c r="J57" s="3" t="n">
        <v>268.42</v>
      </c>
    </row>
    <row r="58">
      <c r="A58" s="2" t="n">
        <v>46305</v>
      </c>
      <c r="B58" t="inlineStr">
        <is>
          <t>Luis</t>
        </is>
      </c>
      <c r="C58" t="inlineStr">
        <is>
          <t>Río Group</t>
        </is>
      </c>
      <c r="D58" t="inlineStr">
        <is>
          <t>Norte</t>
        </is>
      </c>
      <c r="E58" t="inlineStr">
        <is>
          <t>Consultoría (hora)</t>
        </is>
      </c>
      <c r="F58" t="inlineStr">
        <is>
          <t>Servicios</t>
        </is>
      </c>
      <c r="G58" t="n">
        <v>1</v>
      </c>
      <c r="H58" s="3" t="n">
        <v>100.15</v>
      </c>
      <c r="I58" s="3" t="n">
        <v>72.98999999999999</v>
      </c>
      <c r="J58" s="3" t="n">
        <v>100.15</v>
      </c>
    </row>
    <row r="59">
      <c r="A59" s="2" t="n">
        <v>46321</v>
      </c>
      <c r="B59" t="inlineStr">
        <is>
          <t>Luis</t>
        </is>
      </c>
      <c r="C59" t="inlineStr">
        <is>
          <t>Nexo Logística</t>
        </is>
      </c>
      <c r="D59" t="inlineStr">
        <is>
          <t>Norte</t>
        </is>
      </c>
      <c r="E59" t="inlineStr">
        <is>
          <t>Soporte mensual</t>
        </is>
      </c>
      <c r="F59" t="inlineStr">
        <is>
          <t>Servicios</t>
        </is>
      </c>
      <c r="G59" t="n">
        <v>1</v>
      </c>
      <c r="H59" s="3" t="n">
        <v>252.78</v>
      </c>
      <c r="I59" s="3" t="n">
        <v>153.28</v>
      </c>
      <c r="J59" s="3" t="n">
        <v>252.78</v>
      </c>
    </row>
    <row r="60">
      <c r="A60" s="2" t="n">
        <v>46305</v>
      </c>
      <c r="B60" t="inlineStr">
        <is>
          <t>Luis</t>
        </is>
      </c>
      <c r="C60" t="inlineStr">
        <is>
          <t>Ola Servicios</t>
        </is>
      </c>
      <c r="D60" t="inlineStr">
        <is>
          <t>Centro</t>
        </is>
      </c>
      <c r="E60" t="inlineStr">
        <is>
          <t>Capacitación</t>
        </is>
      </c>
      <c r="F60" t="inlineStr">
        <is>
          <t>Formación</t>
        </is>
      </c>
      <c r="G60" t="n">
        <v>1</v>
      </c>
      <c r="H60" s="3" t="n">
        <v>298.45</v>
      </c>
      <c r="I60" s="3" t="n">
        <v>211.12</v>
      </c>
      <c r="J60" s="3" t="n">
        <v>298.45</v>
      </c>
    </row>
    <row r="61">
      <c r="A61" s="2" t="n">
        <v>46296</v>
      </c>
      <c r="B61" t="inlineStr">
        <is>
          <t>Ana</t>
        </is>
      </c>
      <c r="C61" t="inlineStr">
        <is>
          <t>Delta Retail</t>
        </is>
      </c>
      <c r="D61" t="inlineStr">
        <is>
          <t>Sur</t>
        </is>
      </c>
      <c r="E61" t="inlineStr">
        <is>
          <t>Capacitación</t>
        </is>
      </c>
      <c r="F61" t="inlineStr">
        <is>
          <t>Formación</t>
        </is>
      </c>
      <c r="G61" t="n">
        <v>1</v>
      </c>
      <c r="H61" s="3" t="n">
        <v>337.5</v>
      </c>
      <c r="I61" s="3" t="n">
        <v>230.15</v>
      </c>
      <c r="J61" s="3" t="n">
        <v>337.5</v>
      </c>
    </row>
    <row r="62">
      <c r="A62" s="2" t="n">
        <v>46310</v>
      </c>
      <c r="B62" t="inlineStr">
        <is>
          <t>Ana</t>
        </is>
      </c>
      <c r="C62" t="inlineStr">
        <is>
          <t>Huaca Logística</t>
        </is>
      </c>
      <c r="D62" t="inlineStr">
        <is>
          <t>Norte</t>
        </is>
      </c>
      <c r="E62" t="inlineStr">
        <is>
          <t>Consultoría (hora)</t>
        </is>
      </c>
      <c r="F62" t="inlineStr">
        <is>
          <t>Servicios</t>
        </is>
      </c>
      <c r="G62" t="n">
        <v>1</v>
      </c>
      <c r="H62" s="3" t="n">
        <v>98.51000000000001</v>
      </c>
      <c r="I62" s="3" t="n">
        <v>67.03</v>
      </c>
      <c r="J62" s="3" t="n">
        <v>98.51000000000001</v>
      </c>
    </row>
    <row r="63">
      <c r="A63" s="2" t="n">
        <v>46312</v>
      </c>
      <c r="B63" t="inlineStr">
        <is>
          <t>Jorge</t>
        </is>
      </c>
      <c r="C63" t="inlineStr">
        <is>
          <t>Lago Foods</t>
        </is>
      </c>
      <c r="D63" t="inlineStr">
        <is>
          <t>Centro</t>
        </is>
      </c>
      <c r="E63" t="inlineStr">
        <is>
          <t>Soporte mensual</t>
        </is>
      </c>
      <c r="F63" t="inlineStr">
        <is>
          <t>Servicios</t>
        </is>
      </c>
      <c r="G63" t="n">
        <v>1</v>
      </c>
      <c r="H63" s="3" t="n">
        <v>257.57</v>
      </c>
      <c r="I63" s="3" t="n">
        <v>185.48</v>
      </c>
      <c r="J63" s="3" t="n">
        <v>257.57</v>
      </c>
    </row>
    <row r="64">
      <c r="A64" s="2" t="n">
        <v>46308</v>
      </c>
      <c r="B64" t="inlineStr">
        <is>
          <t>Jorge</t>
        </is>
      </c>
      <c r="C64" t="inlineStr">
        <is>
          <t>Jade S.A.</t>
        </is>
      </c>
      <c r="D64" t="inlineStr">
        <is>
          <t>Centro</t>
        </is>
      </c>
      <c r="E64" t="inlineStr">
        <is>
          <t>Consultoría (hora)</t>
        </is>
      </c>
      <c r="F64" t="inlineStr">
        <is>
          <t>Servicios</t>
        </is>
      </c>
      <c r="G64" t="n">
        <v>1</v>
      </c>
      <c r="H64" s="3" t="n">
        <v>94.38</v>
      </c>
      <c r="I64" s="3" t="n">
        <v>65.59999999999999</v>
      </c>
      <c r="J64" s="3" t="n">
        <v>94.38</v>
      </c>
    </row>
    <row r="65">
      <c r="A65" s="2" t="n">
        <v>46300</v>
      </c>
      <c r="B65" t="inlineStr">
        <is>
          <t>Jorge</t>
        </is>
      </c>
      <c r="C65" t="inlineStr">
        <is>
          <t>Lago Ltda.</t>
        </is>
      </c>
      <c r="D65" t="inlineStr">
        <is>
          <t>Centro</t>
        </is>
      </c>
      <c r="E65" t="inlineStr">
        <is>
          <t>Soporte mensual</t>
        </is>
      </c>
      <c r="F65" t="inlineStr">
        <is>
          <t>Servicios</t>
        </is>
      </c>
      <c r="G65" t="n">
        <v>1</v>
      </c>
      <c r="H65" s="3" t="n">
        <v>260.75</v>
      </c>
      <c r="I65" s="3" t="n">
        <v>167.34</v>
      </c>
      <c r="J65" s="3" t="n">
        <v>260.75</v>
      </c>
    </row>
    <row r="66">
      <c r="A66" s="2" t="n">
        <v>46317</v>
      </c>
      <c r="B66" t="inlineStr">
        <is>
          <t>Jorge</t>
        </is>
      </c>
      <c r="C66" t="inlineStr">
        <is>
          <t>Fénix Comercial</t>
        </is>
      </c>
      <c r="D66" t="inlineStr">
        <is>
          <t>Norte</t>
        </is>
      </c>
      <c r="E66" t="inlineStr">
        <is>
          <t>Consultoría (hora)</t>
        </is>
      </c>
      <c r="F66" t="inlineStr">
        <is>
          <t>Servicios</t>
        </is>
      </c>
      <c r="G66" t="n">
        <v>1</v>
      </c>
      <c r="H66" s="3" t="n">
        <v>98.62</v>
      </c>
      <c r="I66" s="3" t="n">
        <v>73.31999999999999</v>
      </c>
      <c r="J66" s="3" t="n">
        <v>98.62</v>
      </c>
    </row>
    <row r="67">
      <c r="A67" s="2" t="n">
        <v>46298</v>
      </c>
      <c r="B67" t="inlineStr">
        <is>
          <t>Luis</t>
        </is>
      </c>
      <c r="C67" t="inlineStr">
        <is>
          <t>Ola Group</t>
        </is>
      </c>
      <c r="D67" t="inlineStr">
        <is>
          <t>Centro</t>
        </is>
      </c>
      <c r="E67" t="inlineStr">
        <is>
          <t>Licencia anual</t>
        </is>
      </c>
      <c r="F67" t="inlineStr">
        <is>
          <t>Software</t>
        </is>
      </c>
      <c r="G67" t="n">
        <v>1</v>
      </c>
      <c r="H67" s="3" t="n">
        <v>491.64</v>
      </c>
      <c r="I67" s="3" t="n">
        <v>322.64</v>
      </c>
      <c r="J67" s="3" t="n">
        <v>491.64</v>
      </c>
    </row>
    <row r="68">
      <c r="A68" s="2" t="n">
        <v>46298</v>
      </c>
      <c r="B68" t="inlineStr">
        <is>
          <t>Ana</t>
        </is>
      </c>
      <c r="C68" t="inlineStr">
        <is>
          <t>Kora Tech</t>
        </is>
      </c>
      <c r="D68" t="inlineStr">
        <is>
          <t>Centro</t>
        </is>
      </c>
      <c r="E68" t="inlineStr">
        <is>
          <t>Consultoría (hora)</t>
        </is>
      </c>
      <c r="F68" t="inlineStr">
        <is>
          <t>Servicios</t>
        </is>
      </c>
      <c r="G68" t="n">
        <v>1</v>
      </c>
      <c r="H68" s="3" t="n">
        <v>86.69</v>
      </c>
      <c r="I68" s="3" t="n">
        <v>53.42</v>
      </c>
      <c r="J68" s="3" t="n">
        <v>86.69</v>
      </c>
    </row>
    <row r="69">
      <c r="A69" s="2" t="n">
        <v>46317</v>
      </c>
      <c r="B69" t="inlineStr">
        <is>
          <t>Ana</t>
        </is>
      </c>
      <c r="C69" t="inlineStr">
        <is>
          <t>Puna Tech</t>
        </is>
      </c>
      <c r="D69" t="inlineStr">
        <is>
          <t>Sur</t>
        </is>
      </c>
      <c r="E69" t="inlineStr">
        <is>
          <t>Soporte mensual</t>
        </is>
      </c>
      <c r="F69" t="inlineStr">
        <is>
          <t>Servicios</t>
        </is>
      </c>
      <c r="G69" t="n">
        <v>1</v>
      </c>
      <c r="H69" s="3" t="n">
        <v>271.65</v>
      </c>
      <c r="I69" s="3" t="n">
        <v>164.25</v>
      </c>
      <c r="J69" s="3" t="n">
        <v>271.65</v>
      </c>
    </row>
    <row r="70">
      <c r="A70" s="2" t="n">
        <v>46316</v>
      </c>
      <c r="B70" t="inlineStr">
        <is>
          <t>Luis</t>
        </is>
      </c>
      <c r="C70" t="inlineStr">
        <is>
          <t>Nexo Foods</t>
        </is>
      </c>
      <c r="D70" t="inlineStr">
        <is>
          <t>Centro</t>
        </is>
      </c>
      <c r="E70" t="inlineStr">
        <is>
          <t>Capacitación</t>
        </is>
      </c>
      <c r="F70" t="inlineStr">
        <is>
          <t>Formación</t>
        </is>
      </c>
      <c r="G70" t="n">
        <v>1</v>
      </c>
      <c r="H70" s="3" t="n">
        <v>325.57</v>
      </c>
      <c r="I70" s="3" t="n">
        <v>234.58</v>
      </c>
      <c r="J70" s="3" t="n">
        <v>325.57</v>
      </c>
    </row>
    <row r="71">
      <c r="A71" s="2" t="n">
        <v>46313</v>
      </c>
      <c r="B71" t="inlineStr">
        <is>
          <t>Carla</t>
        </is>
      </c>
      <c r="C71" t="inlineStr">
        <is>
          <t>Lago Servicios</t>
        </is>
      </c>
      <c r="D71" t="inlineStr">
        <is>
          <t>Centro</t>
        </is>
      </c>
      <c r="E71" t="inlineStr">
        <is>
          <t>Licencia anual</t>
        </is>
      </c>
      <c r="F71" t="inlineStr">
        <is>
          <t>Software</t>
        </is>
      </c>
      <c r="G71" t="n">
        <v>1</v>
      </c>
      <c r="H71" s="3" t="n">
        <v>473.11</v>
      </c>
      <c r="I71" s="3" t="n">
        <v>313.92</v>
      </c>
      <c r="J71" s="3" t="n">
        <v>473.11</v>
      </c>
    </row>
    <row r="72">
      <c r="A72" s="2" t="n">
        <v>46306</v>
      </c>
      <c r="B72" t="inlineStr">
        <is>
          <t>Ana</t>
        </is>
      </c>
      <c r="C72" t="inlineStr">
        <is>
          <t>Delta Import</t>
        </is>
      </c>
      <c r="D72" t="inlineStr">
        <is>
          <t>Sur</t>
        </is>
      </c>
      <c r="E72" t="inlineStr">
        <is>
          <t>Capacitación</t>
        </is>
      </c>
      <c r="F72" t="inlineStr">
        <is>
          <t>Formación</t>
        </is>
      </c>
      <c r="G72" t="n">
        <v>1</v>
      </c>
      <c r="H72" s="3" t="n">
        <v>313.01</v>
      </c>
      <c r="I72" s="3" t="n">
        <v>218.61</v>
      </c>
      <c r="J72" s="3" t="n">
        <v>313.01</v>
      </c>
    </row>
    <row r="73">
      <c r="A73" s="2" t="n">
        <v>46311</v>
      </c>
      <c r="B73" t="inlineStr">
        <is>
          <t>Luis</t>
        </is>
      </c>
      <c r="C73" t="inlineStr">
        <is>
          <t>Lago S.A.</t>
        </is>
      </c>
      <c r="D73" t="inlineStr">
        <is>
          <t>Centro</t>
        </is>
      </c>
      <c r="E73" t="inlineStr">
        <is>
          <t>Consultoría (hora)</t>
        </is>
      </c>
      <c r="F73" t="inlineStr">
        <is>
          <t>Servicios</t>
        </is>
      </c>
      <c r="G73" t="n">
        <v>1</v>
      </c>
      <c r="H73" s="3" t="n">
        <v>88.2</v>
      </c>
      <c r="I73" s="3" t="n">
        <v>54.54</v>
      </c>
      <c r="J73" s="3" t="n">
        <v>88.2</v>
      </c>
    </row>
    <row r="74">
      <c r="A74" s="2" t="n">
        <v>46311</v>
      </c>
      <c r="B74" t="inlineStr">
        <is>
          <t>Jorge</t>
        </is>
      </c>
      <c r="C74" t="inlineStr">
        <is>
          <t>Nexo Group</t>
        </is>
      </c>
      <c r="D74" t="inlineStr">
        <is>
          <t>Sur</t>
        </is>
      </c>
      <c r="E74" t="inlineStr">
        <is>
          <t>Consultoría (hora)</t>
        </is>
      </c>
      <c r="F74" t="inlineStr">
        <is>
          <t>Servicios</t>
        </is>
      </c>
      <c r="G74" t="n">
        <v>1</v>
      </c>
      <c r="H74" s="3" t="n">
        <v>85.73999999999999</v>
      </c>
      <c r="I74" s="3" t="n">
        <v>54.38</v>
      </c>
      <c r="J74" s="3" t="n">
        <v>85.73999999999999</v>
      </c>
    </row>
    <row r="75">
      <c r="A75" s="2" t="n">
        <v>46306</v>
      </c>
      <c r="B75" t="inlineStr">
        <is>
          <t>Jorge</t>
        </is>
      </c>
      <c r="C75" t="inlineStr">
        <is>
          <t>Kora Ltda.</t>
        </is>
      </c>
      <c r="D75" t="inlineStr">
        <is>
          <t>Sur</t>
        </is>
      </c>
      <c r="E75" t="inlineStr">
        <is>
          <t>Consultoría (hora)</t>
        </is>
      </c>
      <c r="F75" t="inlineStr">
        <is>
          <t>Servicios</t>
        </is>
      </c>
      <c r="G75" t="n">
        <v>1</v>
      </c>
      <c r="H75" s="3" t="n">
        <v>101.19</v>
      </c>
      <c r="I75" s="3" t="n">
        <v>72.20999999999999</v>
      </c>
      <c r="J75" s="3" t="n">
        <v>101.19</v>
      </c>
    </row>
    <row r="76">
      <c r="A76" s="2" t="n">
        <v>46316</v>
      </c>
      <c r="B76" t="inlineStr">
        <is>
          <t>Carla</t>
        </is>
      </c>
      <c r="C76" t="inlineStr">
        <is>
          <t>Fénix Import</t>
        </is>
      </c>
      <c r="D76" t="inlineStr">
        <is>
          <t>Centro</t>
        </is>
      </c>
      <c r="E76" t="inlineStr">
        <is>
          <t>Licencia anual</t>
        </is>
      </c>
      <c r="F76" t="inlineStr">
        <is>
          <t>Software</t>
        </is>
      </c>
      <c r="G76" t="n">
        <v>1</v>
      </c>
      <c r="H76" s="3" t="n">
        <v>435.83</v>
      </c>
      <c r="I76" s="3" t="n">
        <v>319.64</v>
      </c>
      <c r="J76" s="3" t="n">
        <v>435.83</v>
      </c>
    </row>
    <row r="77">
      <c r="A77" s="2" t="n">
        <v>46315</v>
      </c>
      <c r="B77" t="inlineStr">
        <is>
          <t>Luis</t>
        </is>
      </c>
      <c r="C77" t="inlineStr">
        <is>
          <t>Bahía Tech</t>
        </is>
      </c>
      <c r="D77" t="inlineStr">
        <is>
          <t>Norte</t>
        </is>
      </c>
      <c r="E77" t="inlineStr">
        <is>
          <t>Soporte mensual</t>
        </is>
      </c>
      <c r="F77" t="inlineStr">
        <is>
          <t>Servicios</t>
        </is>
      </c>
      <c r="G77" t="n">
        <v>1</v>
      </c>
      <c r="H77" s="3" t="n">
        <v>236.53</v>
      </c>
      <c r="I77" s="3" t="n">
        <v>155.59</v>
      </c>
      <c r="J77" s="3" t="n">
        <v>236.53</v>
      </c>
    </row>
    <row r="78">
      <c r="A78" s="2" t="n">
        <v>46309</v>
      </c>
      <c r="B78" t="inlineStr">
        <is>
          <t>Ana</t>
        </is>
      </c>
      <c r="C78" t="inlineStr">
        <is>
          <t>Ola Tech</t>
        </is>
      </c>
      <c r="D78" t="inlineStr">
        <is>
          <t>Centro</t>
        </is>
      </c>
      <c r="E78" t="inlineStr">
        <is>
          <t>Licencia anual</t>
        </is>
      </c>
      <c r="F78" t="inlineStr">
        <is>
          <t>Software</t>
        </is>
      </c>
      <c r="G78" t="n">
        <v>1</v>
      </c>
      <c r="H78" s="3" t="n">
        <v>472.04</v>
      </c>
      <c r="I78" s="3" t="n">
        <v>301.08</v>
      </c>
      <c r="J78" s="3" t="n">
        <v>472.04</v>
      </c>
    </row>
    <row r="79">
      <c r="A79" s="2" t="n">
        <v>46301</v>
      </c>
      <c r="B79" t="inlineStr">
        <is>
          <t>Carla</t>
        </is>
      </c>
      <c r="C79" t="inlineStr">
        <is>
          <t>Lago Logística</t>
        </is>
      </c>
      <c r="D79" t="inlineStr">
        <is>
          <t>Norte</t>
        </is>
      </c>
      <c r="E79" t="inlineStr">
        <is>
          <t>Soporte mensual</t>
        </is>
      </c>
      <c r="F79" t="inlineStr">
        <is>
          <t>Servicios</t>
        </is>
      </c>
      <c r="G79" t="n">
        <v>1</v>
      </c>
      <c r="H79" s="3" t="n">
        <v>261.85</v>
      </c>
      <c r="I79" s="3" t="n">
        <v>181.93</v>
      </c>
      <c r="J79" s="3" t="n">
        <v>261.85</v>
      </c>
    </row>
    <row r="80">
      <c r="A80" s="2" t="n">
        <v>46308</v>
      </c>
      <c r="B80" t="inlineStr">
        <is>
          <t>Carla</t>
        </is>
      </c>
      <c r="C80" t="inlineStr">
        <is>
          <t>Kora Retail</t>
        </is>
      </c>
      <c r="D80" t="inlineStr">
        <is>
          <t>Sur</t>
        </is>
      </c>
      <c r="E80" t="inlineStr">
        <is>
          <t>Capacitación</t>
        </is>
      </c>
      <c r="F80" t="inlineStr">
        <is>
          <t>Formación</t>
        </is>
      </c>
      <c r="G80" t="n">
        <v>1</v>
      </c>
      <c r="H80" s="3" t="n">
        <v>326.13</v>
      </c>
      <c r="I80" s="3" t="n">
        <v>223.91</v>
      </c>
      <c r="J80" s="3" t="n">
        <v>326.13</v>
      </c>
    </row>
    <row r="81">
      <c r="A81" s="2" t="n">
        <v>46306</v>
      </c>
      <c r="B81" t="inlineStr">
        <is>
          <t>Jorge</t>
        </is>
      </c>
      <c r="C81" t="inlineStr">
        <is>
          <t>Gama Ltda.</t>
        </is>
      </c>
      <c r="D81" t="inlineStr">
        <is>
          <t>Norte</t>
        </is>
      </c>
      <c r="E81" t="inlineStr">
        <is>
          <t>Consultoría (hora)</t>
        </is>
      </c>
      <c r="F81" t="inlineStr">
        <is>
          <t>Servicios</t>
        </is>
      </c>
      <c r="G81" t="n">
        <v>1</v>
      </c>
      <c r="H81" s="3" t="n">
        <v>92.61</v>
      </c>
      <c r="I81" s="3" t="n">
        <v>68.16</v>
      </c>
      <c r="J81" s="3" t="n">
        <v>92.61</v>
      </c>
    </row>
    <row r="82">
      <c r="A82" s="2" t="n">
        <v>46302</v>
      </c>
      <c r="B82" t="inlineStr">
        <is>
          <t>Carla</t>
        </is>
      </c>
      <c r="C82" t="inlineStr">
        <is>
          <t>Kora Comercial</t>
        </is>
      </c>
      <c r="D82" t="inlineStr">
        <is>
          <t>Norte</t>
        </is>
      </c>
      <c r="E82" t="inlineStr">
        <is>
          <t>Soporte mensual</t>
        </is>
      </c>
      <c r="F82" t="inlineStr">
        <is>
          <t>Servicios</t>
        </is>
      </c>
      <c r="G82" t="n">
        <v>1</v>
      </c>
      <c r="H82" s="3" t="n">
        <v>233.65</v>
      </c>
      <c r="I82" s="3" t="n">
        <v>154.2</v>
      </c>
      <c r="J82" s="3" t="n">
        <v>233.65</v>
      </c>
    </row>
    <row r="83">
      <c r="A83" s="2" t="n">
        <v>46300</v>
      </c>
      <c r="B83" t="inlineStr">
        <is>
          <t>Carla</t>
        </is>
      </c>
      <c r="C83" t="inlineStr">
        <is>
          <t>Bahía Ltda.</t>
        </is>
      </c>
      <c r="D83" t="inlineStr">
        <is>
          <t>Norte</t>
        </is>
      </c>
      <c r="E83" t="inlineStr">
        <is>
          <t>Consultoría (hora)</t>
        </is>
      </c>
      <c r="F83" t="inlineStr">
        <is>
          <t>Servicios</t>
        </is>
      </c>
      <c r="G83" t="n">
        <v>1</v>
      </c>
      <c r="H83" s="3" t="n">
        <v>97.2</v>
      </c>
      <c r="I83" s="3" t="n">
        <v>70.84</v>
      </c>
      <c r="J83" s="3" t="n">
        <v>97.2</v>
      </c>
    </row>
    <row r="84">
      <c r="A84" s="2" t="n">
        <v>46308</v>
      </c>
      <c r="B84" t="inlineStr">
        <is>
          <t>Ana</t>
        </is>
      </c>
      <c r="C84" t="inlineStr">
        <is>
          <t>Ola Logística</t>
        </is>
      </c>
      <c r="D84" t="inlineStr">
        <is>
          <t>Centro</t>
        </is>
      </c>
      <c r="E84" t="inlineStr">
        <is>
          <t>Consultoría (hora)</t>
        </is>
      </c>
      <c r="F84" t="inlineStr">
        <is>
          <t>Servicios</t>
        </is>
      </c>
      <c r="G84" t="n">
        <v>1</v>
      </c>
      <c r="H84" s="3" t="n">
        <v>91.81999999999999</v>
      </c>
      <c r="I84" s="3" t="n">
        <v>64.15000000000001</v>
      </c>
      <c r="J84" s="3" t="n">
        <v>91.81999999999999</v>
      </c>
    </row>
    <row r="85">
      <c r="A85" s="2" t="n">
        <v>46317</v>
      </c>
      <c r="B85" t="inlineStr">
        <is>
          <t>Ana</t>
        </is>
      </c>
      <c r="C85" t="inlineStr">
        <is>
          <t>Bahía Group</t>
        </is>
      </c>
      <c r="D85" t="inlineStr">
        <is>
          <t>Norte</t>
        </is>
      </c>
      <c r="E85" t="inlineStr">
        <is>
          <t>Consultoría (hora)</t>
        </is>
      </c>
      <c r="F85" t="inlineStr">
        <is>
          <t>Servicios</t>
        </is>
      </c>
      <c r="G85" t="n">
        <v>1</v>
      </c>
      <c r="H85" s="3" t="n">
        <v>97.8</v>
      </c>
      <c r="I85" s="3" t="n">
        <v>59.76</v>
      </c>
      <c r="J85" s="3" t="n">
        <v>97.8</v>
      </c>
    </row>
    <row r="86">
      <c r="A86" s="2" t="n">
        <v>46298</v>
      </c>
      <c r="B86" t="inlineStr">
        <is>
          <t>Carla</t>
        </is>
      </c>
      <c r="C86" t="inlineStr">
        <is>
          <t>Kora Import</t>
        </is>
      </c>
      <c r="D86" t="inlineStr">
        <is>
          <t>Centro</t>
        </is>
      </c>
      <c r="E86" t="inlineStr">
        <is>
          <t>Consultoría (hora)</t>
        </is>
      </c>
      <c r="F86" t="inlineStr">
        <is>
          <t>Servicios</t>
        </is>
      </c>
      <c r="G86" t="n">
        <v>1</v>
      </c>
      <c r="H86" s="3" t="n">
        <v>88.61</v>
      </c>
      <c r="I86" s="3" t="n">
        <v>59.62</v>
      </c>
      <c r="J86" s="3" t="n">
        <v>88.61</v>
      </c>
    </row>
    <row r="87">
      <c r="A87" s="2" t="n">
        <v>46298</v>
      </c>
      <c r="B87" t="inlineStr">
        <is>
          <t>Luis</t>
        </is>
      </c>
      <c r="C87" t="inlineStr">
        <is>
          <t>Huaca S.A.</t>
        </is>
      </c>
      <c r="D87" t="inlineStr">
        <is>
          <t>Sur</t>
        </is>
      </c>
      <c r="E87" t="inlineStr">
        <is>
          <t>Capacitación</t>
        </is>
      </c>
      <c r="F87" t="inlineStr">
        <is>
          <t>Formación</t>
        </is>
      </c>
      <c r="G87" t="n">
        <v>1</v>
      </c>
      <c r="H87" s="3" t="n">
        <v>338.76</v>
      </c>
      <c r="I87" s="3" t="n">
        <v>214.87</v>
      </c>
      <c r="J87" s="3" t="n">
        <v>338.76</v>
      </c>
    </row>
    <row r="88">
      <c r="A88" s="2" t="n">
        <v>46316</v>
      </c>
      <c r="B88" t="inlineStr">
        <is>
          <t>Luis</t>
        </is>
      </c>
      <c r="C88" t="inlineStr">
        <is>
          <t>Nexo S.A.</t>
        </is>
      </c>
      <c r="D88" t="inlineStr">
        <is>
          <t>Norte</t>
        </is>
      </c>
      <c r="E88" t="inlineStr">
        <is>
          <t>Capacitación</t>
        </is>
      </c>
      <c r="F88" t="inlineStr">
        <is>
          <t>Formación</t>
        </is>
      </c>
      <c r="G88" t="n">
        <v>1</v>
      </c>
      <c r="H88" s="3" t="n">
        <v>300.56</v>
      </c>
      <c r="I88" s="3" t="n">
        <v>209.1</v>
      </c>
      <c r="J88" s="3" t="n">
        <v>300.56</v>
      </c>
    </row>
    <row r="89">
      <c r="A89" s="2" t="n">
        <v>46310</v>
      </c>
      <c r="B89" t="inlineStr">
        <is>
          <t>Luis</t>
        </is>
      </c>
      <c r="C89" t="inlineStr">
        <is>
          <t>Kora Servicios</t>
        </is>
      </c>
      <c r="D89" t="inlineStr">
        <is>
          <t>Norte</t>
        </is>
      </c>
      <c r="E89" t="inlineStr">
        <is>
          <t>Capacitación</t>
        </is>
      </c>
      <c r="F89" t="inlineStr">
        <is>
          <t>Formación</t>
        </is>
      </c>
      <c r="G89" t="n">
        <v>1</v>
      </c>
      <c r="H89" s="3" t="n">
        <v>318.65</v>
      </c>
      <c r="I89" s="3" t="n">
        <v>237.03</v>
      </c>
      <c r="J89" s="3" t="n">
        <v>318.65</v>
      </c>
    </row>
    <row r="90">
      <c r="A90" s="2" t="n">
        <v>46307</v>
      </c>
      <c r="B90" t="inlineStr">
        <is>
          <t>Carla</t>
        </is>
      </c>
      <c r="C90" t="inlineStr">
        <is>
          <t>Kora Foods</t>
        </is>
      </c>
      <c r="D90" t="inlineStr">
        <is>
          <t>Centro</t>
        </is>
      </c>
      <c r="E90" t="inlineStr">
        <is>
          <t>Licencia anual</t>
        </is>
      </c>
      <c r="F90" t="inlineStr">
        <is>
          <t>Software</t>
        </is>
      </c>
      <c r="G90" t="n">
        <v>1</v>
      </c>
      <c r="H90" s="3" t="n">
        <v>440.26</v>
      </c>
      <c r="I90" s="3" t="n">
        <v>294.89</v>
      </c>
      <c r="J90" s="3" t="n">
        <v>440.26</v>
      </c>
    </row>
    <row r="91">
      <c r="A91" s="2" t="n">
        <v>46319</v>
      </c>
      <c r="B91" t="inlineStr">
        <is>
          <t>Jorge</t>
        </is>
      </c>
      <c r="C91" t="inlineStr">
        <is>
          <t>Andes Comercial</t>
        </is>
      </c>
      <c r="D91" t="inlineStr">
        <is>
          <t>Centro</t>
        </is>
      </c>
      <c r="E91" t="inlineStr">
        <is>
          <t>Capacitación</t>
        </is>
      </c>
      <c r="F91" t="inlineStr">
        <is>
          <t>Formación</t>
        </is>
      </c>
      <c r="G91" t="n">
        <v>1</v>
      </c>
      <c r="H91" s="3" t="n">
        <v>303.31</v>
      </c>
      <c r="I91" s="3" t="n">
        <v>205.92</v>
      </c>
      <c r="J91" s="3" t="n">
        <v>303.31</v>
      </c>
    </row>
    <row r="92">
      <c r="A92" s="2" t="n">
        <v>46296</v>
      </c>
      <c r="B92" t="inlineStr">
        <is>
          <t>Ana</t>
        </is>
      </c>
      <c r="C92" t="inlineStr">
        <is>
          <t>Quipu Group</t>
        </is>
      </c>
      <c r="D92" t="inlineStr">
        <is>
          <t>Centro</t>
        </is>
      </c>
      <c r="E92" t="inlineStr">
        <is>
          <t>Consultoría (hora)</t>
        </is>
      </c>
      <c r="F92" t="inlineStr">
        <is>
          <t>Servicios</t>
        </is>
      </c>
      <c r="G92" t="n">
        <v>1</v>
      </c>
      <c r="H92" s="3" t="n">
        <v>92.25</v>
      </c>
      <c r="I92" s="3" t="n">
        <v>59.59</v>
      </c>
      <c r="J92" s="3" t="n">
        <v>92.25</v>
      </c>
    </row>
    <row r="93">
      <c r="A93" s="2" t="n">
        <v>46311</v>
      </c>
      <c r="B93" t="inlineStr">
        <is>
          <t>Luis</t>
        </is>
      </c>
      <c r="C93" t="inlineStr">
        <is>
          <t>Tika Tech</t>
        </is>
      </c>
      <c r="D93" t="inlineStr">
        <is>
          <t>Norte</t>
        </is>
      </c>
      <c r="E93" t="inlineStr">
        <is>
          <t>Consultoría (hora)</t>
        </is>
      </c>
      <c r="F93" t="inlineStr">
        <is>
          <t>Servicios</t>
        </is>
      </c>
      <c r="G93" t="n">
        <v>1</v>
      </c>
      <c r="H93" s="3" t="n">
        <v>92.92</v>
      </c>
      <c r="I93" s="3" t="n">
        <v>69.23</v>
      </c>
      <c r="J93" s="3" t="n">
        <v>92.92</v>
      </c>
    </row>
    <row r="94">
      <c r="A94" s="2" t="n">
        <v>46309</v>
      </c>
      <c r="B94" t="inlineStr">
        <is>
          <t>Jorge</t>
        </is>
      </c>
      <c r="C94" t="inlineStr">
        <is>
          <t>Río Comercial</t>
        </is>
      </c>
      <c r="D94" t="inlineStr">
        <is>
          <t>Norte</t>
        </is>
      </c>
      <c r="E94" t="inlineStr">
        <is>
          <t>Licencia anual</t>
        </is>
      </c>
      <c r="F94" t="inlineStr">
        <is>
          <t>Software</t>
        </is>
      </c>
      <c r="G94" t="n">
        <v>1</v>
      </c>
      <c r="H94" s="3" t="n">
        <v>456.94</v>
      </c>
      <c r="I94" s="3" t="n">
        <v>286.45</v>
      </c>
      <c r="J94" s="3" t="n">
        <v>456.94</v>
      </c>
    </row>
    <row r="95">
      <c r="A95" s="2" t="n">
        <v>46312</v>
      </c>
      <c r="B95" t="inlineStr">
        <is>
          <t>Carla</t>
        </is>
      </c>
      <c r="C95" t="inlineStr">
        <is>
          <t>Jade Ltda.</t>
        </is>
      </c>
      <c r="D95" t="inlineStr">
        <is>
          <t>Norte</t>
        </is>
      </c>
      <c r="E95" t="inlineStr">
        <is>
          <t>Soporte mensual</t>
        </is>
      </c>
      <c r="F95" t="inlineStr">
        <is>
          <t>Servicios</t>
        </is>
      </c>
      <c r="G95" t="n">
        <v>1</v>
      </c>
      <c r="H95" s="3" t="n">
        <v>232.11</v>
      </c>
      <c r="I95" s="3" t="n">
        <v>155.04</v>
      </c>
      <c r="J95" s="3" t="n">
        <v>232.11</v>
      </c>
    </row>
    <row r="96">
      <c r="A96" s="2" t="n">
        <v>46322</v>
      </c>
      <c r="B96" t="inlineStr">
        <is>
          <t>Jorge</t>
        </is>
      </c>
      <c r="C96" t="inlineStr">
        <is>
          <t>Cóndor Retail</t>
        </is>
      </c>
      <c r="D96" t="inlineStr">
        <is>
          <t>Norte</t>
        </is>
      </c>
      <c r="E96" t="inlineStr">
        <is>
          <t>Capacitación</t>
        </is>
      </c>
      <c r="F96" t="inlineStr">
        <is>
          <t>Formación</t>
        </is>
      </c>
      <c r="G96" t="n">
        <v>1</v>
      </c>
      <c r="H96" s="3" t="n">
        <v>298.14</v>
      </c>
      <c r="I96" s="3" t="n">
        <v>184.33</v>
      </c>
      <c r="J96" s="3" t="n">
        <v>298.14</v>
      </c>
    </row>
    <row r="97">
      <c r="A97" s="2" t="n">
        <v>46302</v>
      </c>
      <c r="B97" t="inlineStr">
        <is>
          <t>Luis</t>
        </is>
      </c>
      <c r="C97" t="inlineStr">
        <is>
          <t>Puna Group</t>
        </is>
      </c>
      <c r="D97" t="inlineStr">
        <is>
          <t>Centro</t>
        </is>
      </c>
      <c r="E97" t="inlineStr">
        <is>
          <t>Licencia anual</t>
        </is>
      </c>
      <c r="F97" t="inlineStr">
        <is>
          <t>Software</t>
        </is>
      </c>
      <c r="G97" t="n">
        <v>1</v>
      </c>
      <c r="H97" s="3" t="n">
        <v>432.67</v>
      </c>
      <c r="I97" s="3" t="n">
        <v>265.65</v>
      </c>
      <c r="J97" s="3" t="n">
        <v>432.67</v>
      </c>
    </row>
    <row r="98">
      <c r="A98" s="2" t="n">
        <v>46304</v>
      </c>
      <c r="B98" t="inlineStr">
        <is>
          <t>Carla</t>
        </is>
      </c>
      <c r="C98" t="inlineStr">
        <is>
          <t>Ícaro Foods</t>
        </is>
      </c>
      <c r="D98" t="inlineStr">
        <is>
          <t>Sur</t>
        </is>
      </c>
      <c r="E98" t="inlineStr">
        <is>
          <t>Capacitación</t>
        </is>
      </c>
      <c r="F98" t="inlineStr">
        <is>
          <t>Formación</t>
        </is>
      </c>
      <c r="G98" t="n">
        <v>1</v>
      </c>
      <c r="H98" s="3" t="n">
        <v>312.32</v>
      </c>
      <c r="I98" s="3" t="n">
        <v>212.16</v>
      </c>
      <c r="J98" s="3" t="n">
        <v>312.32</v>
      </c>
    </row>
    <row r="99">
      <c r="A99" s="2" t="n">
        <v>46323</v>
      </c>
      <c r="B99" t="inlineStr">
        <is>
          <t>Ana</t>
        </is>
      </c>
      <c r="C99" t="inlineStr">
        <is>
          <t>Nexo Retail</t>
        </is>
      </c>
      <c r="D99" t="inlineStr">
        <is>
          <t>Centro</t>
        </is>
      </c>
      <c r="E99" t="inlineStr">
        <is>
          <t>Capacitación</t>
        </is>
      </c>
      <c r="F99" t="inlineStr">
        <is>
          <t>Formación</t>
        </is>
      </c>
      <c r="G99" t="n">
        <v>1</v>
      </c>
      <c r="H99" s="3" t="n">
        <v>296.05</v>
      </c>
      <c r="I99" s="3" t="n">
        <v>186.84</v>
      </c>
      <c r="J99" s="3" t="n">
        <v>296.05</v>
      </c>
    </row>
    <row r="100">
      <c r="A100" s="2" t="n">
        <v>46310</v>
      </c>
      <c r="B100" t="inlineStr">
        <is>
          <t>Ana</t>
        </is>
      </c>
      <c r="C100" t="inlineStr">
        <is>
          <t>Puna Comercial</t>
        </is>
      </c>
      <c r="D100" t="inlineStr">
        <is>
          <t>Norte</t>
        </is>
      </c>
      <c r="E100" t="inlineStr">
        <is>
          <t>Capacitación</t>
        </is>
      </c>
      <c r="F100" t="inlineStr">
        <is>
          <t>Formación</t>
        </is>
      </c>
      <c r="G100" t="n">
        <v>1</v>
      </c>
      <c r="H100" s="3" t="n">
        <v>304.69</v>
      </c>
      <c r="I100" s="3" t="n">
        <v>207.21</v>
      </c>
      <c r="J100" s="3" t="n">
        <v>304.69</v>
      </c>
    </row>
    <row r="101">
      <c r="A101" s="2" t="n">
        <v>46322</v>
      </c>
      <c r="B101" t="inlineStr">
        <is>
          <t>Ana</t>
        </is>
      </c>
      <c r="C101" t="inlineStr">
        <is>
          <t>Gama Import</t>
        </is>
      </c>
      <c r="D101" t="inlineStr">
        <is>
          <t>Sur</t>
        </is>
      </c>
      <c r="E101" t="inlineStr">
        <is>
          <t>Licencia anual</t>
        </is>
      </c>
      <c r="F101" t="inlineStr">
        <is>
          <t>Software</t>
        </is>
      </c>
      <c r="G101" t="n">
        <v>1</v>
      </c>
      <c r="H101" s="3" t="n">
        <v>460.56</v>
      </c>
      <c r="I101" s="3" t="n">
        <v>289.14</v>
      </c>
      <c r="J101" s="3" t="n">
        <v>460.56</v>
      </c>
    </row>
    <row r="102">
      <c r="A102" s="2" t="n">
        <v>46308</v>
      </c>
      <c r="B102" t="inlineStr">
        <is>
          <t>Carla</t>
        </is>
      </c>
      <c r="C102" t="inlineStr">
        <is>
          <t>Andes Foods</t>
        </is>
      </c>
      <c r="D102" t="inlineStr">
        <is>
          <t>Norte</t>
        </is>
      </c>
      <c r="E102" t="inlineStr">
        <is>
          <t>Licencia anual</t>
        </is>
      </c>
      <c r="F102" t="inlineStr">
        <is>
          <t>Software</t>
        </is>
      </c>
      <c r="G102" t="n">
        <v>1</v>
      </c>
      <c r="H102" s="3" t="n">
        <v>432.11</v>
      </c>
      <c r="I102" s="3" t="n">
        <v>323.5</v>
      </c>
      <c r="J102" s="3" t="n">
        <v>432.11</v>
      </c>
    </row>
    <row r="103">
      <c r="A103" s="2" t="n">
        <v>46312</v>
      </c>
      <c r="B103" t="inlineStr">
        <is>
          <t>Jorge</t>
        </is>
      </c>
      <c r="C103" t="inlineStr">
        <is>
          <t>Río S.A.</t>
        </is>
      </c>
      <c r="D103" t="inlineStr">
        <is>
          <t>Centro</t>
        </is>
      </c>
      <c r="E103" t="inlineStr">
        <is>
          <t>Licencia anual</t>
        </is>
      </c>
      <c r="F103" t="inlineStr">
        <is>
          <t>Software</t>
        </is>
      </c>
      <c r="G103" t="n">
        <v>1</v>
      </c>
      <c r="H103" s="3" t="n">
        <v>412.65</v>
      </c>
      <c r="I103" s="3" t="n">
        <v>281.41</v>
      </c>
      <c r="J103" s="3" t="n">
        <v>412.65</v>
      </c>
    </row>
    <row r="104">
      <c r="A104" s="2" t="n">
        <v>46307</v>
      </c>
      <c r="B104" t="inlineStr">
        <is>
          <t>Jorge</t>
        </is>
      </c>
      <c r="C104" t="inlineStr">
        <is>
          <t>Ola Ltda.</t>
        </is>
      </c>
      <c r="D104" t="inlineStr">
        <is>
          <t>Norte</t>
        </is>
      </c>
      <c r="E104" t="inlineStr">
        <is>
          <t>Licencia anual</t>
        </is>
      </c>
      <c r="F104" t="inlineStr">
        <is>
          <t>Software</t>
        </is>
      </c>
      <c r="G104" t="n">
        <v>1</v>
      </c>
      <c r="H104" s="3" t="n">
        <v>453.96</v>
      </c>
      <c r="I104" s="3" t="n">
        <v>330.06</v>
      </c>
      <c r="J104" s="3" t="n">
        <v>453.96</v>
      </c>
    </row>
    <row r="105">
      <c r="A105" s="2" t="n">
        <v>46312</v>
      </c>
      <c r="B105" t="inlineStr">
        <is>
          <t>Carla</t>
        </is>
      </c>
      <c r="C105" t="inlineStr">
        <is>
          <t>Tika Group</t>
        </is>
      </c>
      <c r="D105" t="inlineStr">
        <is>
          <t>Norte</t>
        </is>
      </c>
      <c r="E105" t="inlineStr">
        <is>
          <t>Capacitación</t>
        </is>
      </c>
      <c r="F105" t="inlineStr">
        <is>
          <t>Formación</t>
        </is>
      </c>
      <c r="G105" t="n">
        <v>1</v>
      </c>
      <c r="H105" s="3" t="n">
        <v>289.56</v>
      </c>
      <c r="I105" s="3" t="n">
        <v>208.31</v>
      </c>
      <c r="J105" s="3" t="n">
        <v>289.56</v>
      </c>
    </row>
    <row r="106">
      <c r="A106" s="2" t="n">
        <v>46321</v>
      </c>
      <c r="B106" t="inlineStr">
        <is>
          <t>Jorge</t>
        </is>
      </c>
      <c r="C106" t="inlineStr">
        <is>
          <t>Andes S.A.C.</t>
        </is>
      </c>
      <c r="D106" t="inlineStr">
        <is>
          <t>Sur</t>
        </is>
      </c>
      <c r="E106" t="inlineStr">
        <is>
          <t>Consultoría (hora)</t>
        </is>
      </c>
      <c r="F106" t="inlineStr">
        <is>
          <t>Servicios</t>
        </is>
      </c>
      <c r="G106" t="n">
        <v>1</v>
      </c>
      <c r="H106" s="3" t="n">
        <v>89.68000000000001</v>
      </c>
      <c r="I106" s="3" t="n">
        <v>59.29</v>
      </c>
      <c r="J106" s="3" t="n">
        <v>89.68000000000001</v>
      </c>
    </row>
    <row r="107">
      <c r="A107" s="2" t="n">
        <v>46323</v>
      </c>
      <c r="B107" t="inlineStr">
        <is>
          <t>Carla</t>
        </is>
      </c>
      <c r="C107" t="inlineStr">
        <is>
          <t>Tika Import</t>
        </is>
      </c>
      <c r="D107" t="inlineStr">
        <is>
          <t>Norte</t>
        </is>
      </c>
      <c r="E107" t="inlineStr">
        <is>
          <t>Soporte mensual</t>
        </is>
      </c>
      <c r="F107" t="inlineStr">
        <is>
          <t>Servicios</t>
        </is>
      </c>
      <c r="G107" t="n">
        <v>1</v>
      </c>
      <c r="H107" s="3" t="n">
        <v>263.85</v>
      </c>
      <c r="I107" s="3" t="n">
        <v>185.11</v>
      </c>
      <c r="J107" s="3" t="n">
        <v>263.85</v>
      </c>
    </row>
    <row r="108">
      <c r="A108" s="2" t="n">
        <v>46316</v>
      </c>
      <c r="B108" t="inlineStr">
        <is>
          <t>Ana</t>
        </is>
      </c>
      <c r="C108" t="inlineStr">
        <is>
          <t>Sol Retail</t>
        </is>
      </c>
      <c r="D108" t="inlineStr">
        <is>
          <t>Sur</t>
        </is>
      </c>
      <c r="E108" t="inlineStr">
        <is>
          <t>Consultoría (hora)</t>
        </is>
      </c>
      <c r="F108" t="inlineStr">
        <is>
          <t>Servicios</t>
        </is>
      </c>
      <c r="G108" t="n">
        <v>1</v>
      </c>
      <c r="H108" s="3" t="n">
        <v>98.66</v>
      </c>
      <c r="I108" s="3" t="n">
        <v>64.33</v>
      </c>
      <c r="J108" s="3" t="n">
        <v>98.66</v>
      </c>
    </row>
    <row r="109">
      <c r="A109" s="2" t="n">
        <v>46298</v>
      </c>
      <c r="B109" t="inlineStr">
        <is>
          <t>Luis</t>
        </is>
      </c>
      <c r="C109" t="inlineStr">
        <is>
          <t>Sol Group</t>
        </is>
      </c>
      <c r="D109" t="inlineStr">
        <is>
          <t>Sur</t>
        </is>
      </c>
      <c r="E109" t="inlineStr">
        <is>
          <t>Soporte mensual</t>
        </is>
      </c>
      <c r="F109" t="inlineStr">
        <is>
          <t>Servicios</t>
        </is>
      </c>
      <c r="G109" t="n">
        <v>1</v>
      </c>
      <c r="H109" s="3" t="n">
        <v>230.74</v>
      </c>
      <c r="I109" s="3" t="n">
        <v>166.4</v>
      </c>
      <c r="J109" s="3" t="n">
        <v>230.74</v>
      </c>
    </row>
    <row r="110">
      <c r="A110" s="2" t="n">
        <v>46301</v>
      </c>
      <c r="B110" t="inlineStr">
        <is>
          <t>Luis</t>
        </is>
      </c>
      <c r="C110" t="inlineStr">
        <is>
          <t>Ícaro S.A.</t>
        </is>
      </c>
      <c r="D110" t="inlineStr">
        <is>
          <t>Norte</t>
        </is>
      </c>
      <c r="E110" t="inlineStr">
        <is>
          <t>Capacitación</t>
        </is>
      </c>
      <c r="F110" t="inlineStr">
        <is>
          <t>Formación</t>
        </is>
      </c>
      <c r="G110" t="n">
        <v>1</v>
      </c>
      <c r="H110" s="3" t="n">
        <v>338.34</v>
      </c>
      <c r="I110" s="3" t="n">
        <v>228.56</v>
      </c>
      <c r="J110" s="3" t="n">
        <v>338.34</v>
      </c>
    </row>
    <row r="111">
      <c r="A111" s="2" t="n">
        <v>46308</v>
      </c>
      <c r="B111" t="inlineStr">
        <is>
          <t>Ana</t>
        </is>
      </c>
      <c r="C111" t="inlineStr">
        <is>
          <t>Tika Comercial</t>
        </is>
      </c>
      <c r="D111" t="inlineStr">
        <is>
          <t>Norte</t>
        </is>
      </c>
      <c r="E111" t="inlineStr">
        <is>
          <t>Consultoría (hora)</t>
        </is>
      </c>
      <c r="F111" t="inlineStr">
        <is>
          <t>Servicios</t>
        </is>
      </c>
      <c r="G111" t="n">
        <v>1</v>
      </c>
      <c r="H111" s="3" t="n">
        <v>104.08</v>
      </c>
      <c r="I111" s="3" t="n">
        <v>65.94</v>
      </c>
      <c r="J111" s="3" t="n">
        <v>104.08</v>
      </c>
    </row>
    <row r="112">
      <c r="A112" s="2" t="n">
        <v>46318</v>
      </c>
      <c r="B112" t="inlineStr">
        <is>
          <t>Carla</t>
        </is>
      </c>
      <c r="C112" t="inlineStr">
        <is>
          <t>Andes Servicios</t>
        </is>
      </c>
      <c r="D112" t="inlineStr">
        <is>
          <t>Centro</t>
        </is>
      </c>
      <c r="E112" t="inlineStr">
        <is>
          <t>Capacitación</t>
        </is>
      </c>
      <c r="F112" t="inlineStr">
        <is>
          <t>Formación</t>
        </is>
      </c>
      <c r="G112" t="n">
        <v>1</v>
      </c>
      <c r="H112" s="3" t="n">
        <v>306.08</v>
      </c>
      <c r="I112" s="3" t="n">
        <v>209.79</v>
      </c>
      <c r="J112" s="3" t="n">
        <v>306.08</v>
      </c>
    </row>
    <row r="113">
      <c r="A113" s="2" t="n">
        <v>46305</v>
      </c>
      <c r="B113" t="inlineStr">
        <is>
          <t>Jorge</t>
        </is>
      </c>
      <c r="C113" t="inlineStr">
        <is>
          <t>Ola Import</t>
        </is>
      </c>
      <c r="D113" t="inlineStr">
        <is>
          <t>Norte</t>
        </is>
      </c>
      <c r="E113" t="inlineStr">
        <is>
          <t>Capacitación</t>
        </is>
      </c>
      <c r="F113" t="inlineStr">
        <is>
          <t>Formación</t>
        </is>
      </c>
      <c r="G113" t="n">
        <v>1</v>
      </c>
      <c r="H113" s="3" t="n">
        <v>340.73</v>
      </c>
      <c r="I113" s="3" t="n">
        <v>242.82</v>
      </c>
      <c r="J113" s="3" t="n">
        <v>340.73</v>
      </c>
    </row>
    <row r="114">
      <c r="A114" s="2" t="n">
        <v>46315</v>
      </c>
      <c r="B114" t="inlineStr">
        <is>
          <t>Carla</t>
        </is>
      </c>
      <c r="C114" t="inlineStr">
        <is>
          <t>Mistura Retail</t>
        </is>
      </c>
      <c r="D114" t="inlineStr">
        <is>
          <t>Centro</t>
        </is>
      </c>
      <c r="E114" t="inlineStr">
        <is>
          <t>Licencia anual</t>
        </is>
      </c>
      <c r="F114" t="inlineStr">
        <is>
          <t>Software</t>
        </is>
      </c>
      <c r="G114" t="n">
        <v>1</v>
      </c>
      <c r="H114" s="3" t="n">
        <v>423.55</v>
      </c>
      <c r="I114" s="3" t="n">
        <v>314.77</v>
      </c>
      <c r="J114" s="3" t="n">
        <v>423.55</v>
      </c>
    </row>
    <row r="115">
      <c r="A115" s="2" t="n">
        <v>46307</v>
      </c>
      <c r="B115" t="inlineStr">
        <is>
          <t>Jorge</t>
        </is>
      </c>
      <c r="C115" t="inlineStr">
        <is>
          <t>Jade Import</t>
        </is>
      </c>
      <c r="D115" t="inlineStr">
        <is>
          <t>Centro</t>
        </is>
      </c>
      <c r="E115" t="inlineStr">
        <is>
          <t>Consultoría (hora)</t>
        </is>
      </c>
      <c r="F115" t="inlineStr">
        <is>
          <t>Servicios</t>
        </is>
      </c>
      <c r="G115" t="n">
        <v>1</v>
      </c>
      <c r="H115" s="3" t="n">
        <v>91.06</v>
      </c>
      <c r="I115" s="3" t="n">
        <v>63.01</v>
      </c>
      <c r="J115" s="3" t="n">
        <v>91.06</v>
      </c>
    </row>
    <row r="116">
      <c r="A116" s="2" t="n">
        <v>46313</v>
      </c>
      <c r="B116" t="inlineStr">
        <is>
          <t>Ana</t>
        </is>
      </c>
      <c r="C116" t="inlineStr">
        <is>
          <t>Gama Retail</t>
        </is>
      </c>
      <c r="D116" t="inlineStr">
        <is>
          <t>Sur</t>
        </is>
      </c>
      <c r="E116" t="inlineStr">
        <is>
          <t>Consultoría (hora)</t>
        </is>
      </c>
      <c r="F116" t="inlineStr">
        <is>
          <t>Servicios</t>
        </is>
      </c>
      <c r="G116" t="n">
        <v>1</v>
      </c>
      <c r="H116" s="3" t="n">
        <v>91.68000000000001</v>
      </c>
      <c r="I116" s="3" t="n">
        <v>62.8</v>
      </c>
      <c r="J116" s="3" t="n">
        <v>91.68000000000001</v>
      </c>
    </row>
    <row r="117">
      <c r="A117" s="2" t="n">
        <v>46300</v>
      </c>
      <c r="B117" t="inlineStr">
        <is>
          <t>Ana</t>
        </is>
      </c>
      <c r="C117" t="inlineStr">
        <is>
          <t>Gama Servicios</t>
        </is>
      </c>
      <c r="D117" t="inlineStr">
        <is>
          <t>Sur</t>
        </is>
      </c>
      <c r="E117" t="inlineStr">
        <is>
          <t>Consultoría (hora)</t>
        </is>
      </c>
      <c r="F117" t="inlineStr">
        <is>
          <t>Servicios</t>
        </is>
      </c>
      <c r="G117" t="n">
        <v>1</v>
      </c>
      <c r="H117" s="3" t="n">
        <v>97.34999999999999</v>
      </c>
      <c r="I117" s="3" t="n">
        <v>66.58</v>
      </c>
      <c r="J117" s="3" t="n">
        <v>97.34999999999999</v>
      </c>
    </row>
    <row r="118">
      <c r="A118" s="2" t="n">
        <v>46321</v>
      </c>
      <c r="B118" t="inlineStr">
        <is>
          <t>Luis</t>
        </is>
      </c>
      <c r="C118" t="inlineStr">
        <is>
          <t>Mistura S.A.C.</t>
        </is>
      </c>
      <c r="D118" t="inlineStr">
        <is>
          <t>Sur</t>
        </is>
      </c>
      <c r="E118" t="inlineStr">
        <is>
          <t>Consultoría (hora)</t>
        </is>
      </c>
      <c r="F118" t="inlineStr">
        <is>
          <t>Servicios</t>
        </is>
      </c>
      <c r="G118" t="n">
        <v>1</v>
      </c>
      <c r="H118" s="3" t="n">
        <v>90.05</v>
      </c>
      <c r="I118" s="3" t="n">
        <v>61.4</v>
      </c>
      <c r="J118" s="3" t="n">
        <v>90.05</v>
      </c>
    </row>
    <row r="119">
      <c r="A119" s="2" t="n">
        <v>46315</v>
      </c>
      <c r="B119" t="inlineStr">
        <is>
          <t>Luis</t>
        </is>
      </c>
      <c r="C119" t="inlineStr">
        <is>
          <t>Quipu S.A.</t>
        </is>
      </c>
      <c r="D119" t="inlineStr">
        <is>
          <t>Sur</t>
        </is>
      </c>
      <c r="E119" t="inlineStr">
        <is>
          <t>Soporte mensual</t>
        </is>
      </c>
      <c r="F119" t="inlineStr">
        <is>
          <t>Servicios</t>
        </is>
      </c>
      <c r="G119" t="n">
        <v>1</v>
      </c>
      <c r="H119" s="3" t="n">
        <v>229.37</v>
      </c>
      <c r="I119" s="3" t="n">
        <v>170.6</v>
      </c>
      <c r="J119" s="3" t="n">
        <v>229.37</v>
      </c>
    </row>
    <row r="120">
      <c r="A120" s="2" t="n">
        <v>46306</v>
      </c>
      <c r="B120" t="inlineStr">
        <is>
          <t>Carla</t>
        </is>
      </c>
      <c r="C120" t="inlineStr">
        <is>
          <t>Lago Comercial</t>
        </is>
      </c>
      <c r="D120" t="inlineStr">
        <is>
          <t>Norte</t>
        </is>
      </c>
      <c r="E120" t="inlineStr">
        <is>
          <t>Licencia anual</t>
        </is>
      </c>
      <c r="F120" t="inlineStr">
        <is>
          <t>Software</t>
        </is>
      </c>
      <c r="G120" t="n">
        <v>1</v>
      </c>
      <c r="H120" s="3" t="n">
        <v>494.43</v>
      </c>
      <c r="I120" s="3" t="n">
        <v>369.84</v>
      </c>
      <c r="J120" s="3" t="n">
        <v>494.43</v>
      </c>
    </row>
    <row r="121">
      <c r="A121" s="2" t="n">
        <v>46306</v>
      </c>
      <c r="B121" t="inlineStr">
        <is>
          <t>Carla</t>
        </is>
      </c>
      <c r="C121" t="inlineStr">
        <is>
          <t>Mistura Tech</t>
        </is>
      </c>
      <c r="D121" t="inlineStr">
        <is>
          <t>Sur</t>
        </is>
      </c>
      <c r="E121" t="inlineStr">
        <is>
          <t>Soporte mensual</t>
        </is>
      </c>
      <c r="F121" t="inlineStr">
        <is>
          <t>Servicios</t>
        </is>
      </c>
      <c r="G121" t="n">
        <v>1</v>
      </c>
      <c r="H121" s="3" t="n">
        <v>246.86</v>
      </c>
      <c r="I121" s="3" t="n">
        <v>181.87</v>
      </c>
      <c r="J121" s="3" t="n">
        <v>246.86</v>
      </c>
    </row>
    <row r="122">
      <c r="A122" s="2" t="n">
        <v>46306</v>
      </c>
      <c r="B122" t="inlineStr">
        <is>
          <t>Jorge</t>
        </is>
      </c>
      <c r="C122" t="inlineStr">
        <is>
          <t>Bahía S.A.C.</t>
        </is>
      </c>
      <c r="D122" t="inlineStr">
        <is>
          <t>Centro</t>
        </is>
      </c>
      <c r="E122" t="inlineStr">
        <is>
          <t>Soporte mensual</t>
        </is>
      </c>
      <c r="F122" t="inlineStr">
        <is>
          <t>Servicios</t>
        </is>
      </c>
      <c r="G122" t="n">
        <v>1</v>
      </c>
      <c r="H122" s="3" t="n">
        <v>256.57</v>
      </c>
      <c r="I122" s="3" t="n">
        <v>191.94</v>
      </c>
      <c r="J122" s="3" t="n">
        <v>256.57</v>
      </c>
    </row>
    <row r="123">
      <c r="A123" s="2" t="n">
        <v>46322</v>
      </c>
      <c r="B123" t="inlineStr">
        <is>
          <t>Ana</t>
        </is>
      </c>
      <c r="C123" t="inlineStr">
        <is>
          <t>Tika Retail</t>
        </is>
      </c>
      <c r="D123" t="inlineStr">
        <is>
          <t>Sur</t>
        </is>
      </c>
      <c r="E123" t="inlineStr">
        <is>
          <t>Capacitación</t>
        </is>
      </c>
      <c r="F123" t="inlineStr">
        <is>
          <t>Formación</t>
        </is>
      </c>
      <c r="G123" t="n">
        <v>1</v>
      </c>
      <c r="H123" s="3" t="n">
        <v>343.06</v>
      </c>
      <c r="I123" s="3" t="n">
        <v>237.8</v>
      </c>
      <c r="J123" s="3" t="n">
        <v>343.06</v>
      </c>
    </row>
    <row r="124">
      <c r="A124" s="2" t="n">
        <v>46301</v>
      </c>
      <c r="B124" t="inlineStr">
        <is>
          <t>Luis</t>
        </is>
      </c>
      <c r="C124" t="inlineStr">
        <is>
          <t>Bahía Retail</t>
        </is>
      </c>
      <c r="D124" t="inlineStr">
        <is>
          <t>Norte</t>
        </is>
      </c>
      <c r="E124" t="inlineStr">
        <is>
          <t>Licencia anual</t>
        </is>
      </c>
      <c r="F124" t="inlineStr">
        <is>
          <t>Software</t>
        </is>
      </c>
      <c r="G124" t="n">
        <v>1</v>
      </c>
      <c r="H124" s="3" t="n">
        <v>449.42</v>
      </c>
      <c r="I124" s="3" t="n">
        <v>324.11</v>
      </c>
      <c r="J124" s="3" t="n">
        <v>449.42</v>
      </c>
    </row>
    <row r="125">
      <c r="A125" s="2" t="n">
        <v>46306</v>
      </c>
      <c r="B125" t="inlineStr">
        <is>
          <t>Luis</t>
        </is>
      </c>
      <c r="C125" t="inlineStr">
        <is>
          <t>Eco Logística</t>
        </is>
      </c>
      <c r="D125" t="inlineStr">
        <is>
          <t>Centro</t>
        </is>
      </c>
      <c r="E125" t="inlineStr">
        <is>
          <t>Licencia anual</t>
        </is>
      </c>
      <c r="F125" t="inlineStr">
        <is>
          <t>Software</t>
        </is>
      </c>
      <c r="G125" t="n">
        <v>1</v>
      </c>
      <c r="H125" s="3" t="n">
        <v>453.05</v>
      </c>
      <c r="I125" s="3" t="n">
        <v>298.33</v>
      </c>
      <c r="J125" s="3" t="n">
        <v>453.05</v>
      </c>
    </row>
    <row r="126">
      <c r="A126" s="2" t="n">
        <v>46311</v>
      </c>
      <c r="B126" t="inlineStr">
        <is>
          <t>Jorge</t>
        </is>
      </c>
      <c r="C126" t="inlineStr">
        <is>
          <t>Huaca Servicios</t>
        </is>
      </c>
      <c r="D126" t="inlineStr">
        <is>
          <t>Centro</t>
        </is>
      </c>
      <c r="E126" t="inlineStr">
        <is>
          <t>Capacitación</t>
        </is>
      </c>
      <c r="F126" t="inlineStr">
        <is>
          <t>Formación</t>
        </is>
      </c>
      <c r="G126" t="n">
        <v>1</v>
      </c>
      <c r="H126" s="3" t="n">
        <v>325.78</v>
      </c>
      <c r="I126" s="3" t="n">
        <v>203.71</v>
      </c>
      <c r="J126" s="3" t="n">
        <v>325.78</v>
      </c>
    </row>
    <row r="127">
      <c r="A127" s="2" t="n">
        <v>46302</v>
      </c>
      <c r="B127" t="inlineStr">
        <is>
          <t>Luis</t>
        </is>
      </c>
      <c r="C127" t="inlineStr">
        <is>
          <t>Tika Servicios</t>
        </is>
      </c>
      <c r="D127" t="inlineStr">
        <is>
          <t>Centro</t>
        </is>
      </c>
      <c r="E127" t="inlineStr">
        <is>
          <t>Capacitación</t>
        </is>
      </c>
      <c r="F127" t="inlineStr">
        <is>
          <t>Formación</t>
        </is>
      </c>
      <c r="G127" t="n">
        <v>1</v>
      </c>
      <c r="H127" s="3" t="n">
        <v>295.34</v>
      </c>
      <c r="I127" s="3" t="n">
        <v>206</v>
      </c>
      <c r="J127" s="3" t="n">
        <v>295.34</v>
      </c>
    </row>
    <row r="128">
      <c r="A128" s="2" t="n">
        <v>46317</v>
      </c>
      <c r="B128" t="inlineStr">
        <is>
          <t>Jorge</t>
        </is>
      </c>
      <c r="C128" t="inlineStr">
        <is>
          <t>Nexo S.A.C.</t>
        </is>
      </c>
      <c r="D128" t="inlineStr">
        <is>
          <t>Norte</t>
        </is>
      </c>
      <c r="E128" t="inlineStr">
        <is>
          <t>Consultoría (hora)</t>
        </is>
      </c>
      <c r="F128" t="inlineStr">
        <is>
          <t>Servicios</t>
        </is>
      </c>
      <c r="G128" t="n">
        <v>1</v>
      </c>
      <c r="H128" s="3" t="n">
        <v>97.36</v>
      </c>
      <c r="I128" s="3" t="n">
        <v>63.21</v>
      </c>
      <c r="J128" s="3" t="n">
        <v>97.36</v>
      </c>
    </row>
    <row r="129">
      <c r="A129" s="2" t="n">
        <v>46302</v>
      </c>
      <c r="B129" t="inlineStr">
        <is>
          <t>Luis</t>
        </is>
      </c>
      <c r="C129" t="inlineStr">
        <is>
          <t>Quipu Comercial</t>
        </is>
      </c>
      <c r="D129" t="inlineStr">
        <is>
          <t>Sur</t>
        </is>
      </c>
      <c r="E129" t="inlineStr">
        <is>
          <t>Soporte mensual</t>
        </is>
      </c>
      <c r="F129" t="inlineStr">
        <is>
          <t>Servicios</t>
        </is>
      </c>
      <c r="G129" t="n">
        <v>1</v>
      </c>
      <c r="H129" s="3" t="n">
        <v>246.7</v>
      </c>
      <c r="I129" s="3" t="n">
        <v>162.51</v>
      </c>
      <c r="J129" s="3" t="n">
        <v>246.7</v>
      </c>
    </row>
    <row r="130">
      <c r="A130" s="2" t="n">
        <v>46313</v>
      </c>
      <c r="B130" t="inlineStr">
        <is>
          <t>Luis</t>
        </is>
      </c>
      <c r="C130" t="inlineStr">
        <is>
          <t>Sol Tech</t>
        </is>
      </c>
      <c r="D130" t="inlineStr">
        <is>
          <t>Sur</t>
        </is>
      </c>
      <c r="E130" t="inlineStr">
        <is>
          <t>Capacitación</t>
        </is>
      </c>
      <c r="F130" t="inlineStr">
        <is>
          <t>Formación</t>
        </is>
      </c>
      <c r="G130" t="n">
        <v>1</v>
      </c>
      <c r="H130" s="3" t="n">
        <v>329.61</v>
      </c>
      <c r="I130" s="3" t="n">
        <v>204.89</v>
      </c>
      <c r="J130" s="3" t="n">
        <v>329.61</v>
      </c>
    </row>
    <row r="131">
      <c r="A131" s="2" t="n">
        <v>46297</v>
      </c>
      <c r="B131" t="inlineStr">
        <is>
          <t>Luis</t>
        </is>
      </c>
      <c r="C131" t="inlineStr">
        <is>
          <t>Ícaro Tech</t>
        </is>
      </c>
      <c r="D131" t="inlineStr">
        <is>
          <t>Sur</t>
        </is>
      </c>
      <c r="E131" t="inlineStr">
        <is>
          <t>Consultoría (hora)</t>
        </is>
      </c>
      <c r="F131" t="inlineStr">
        <is>
          <t>Servicios</t>
        </is>
      </c>
      <c r="G131" t="n">
        <v>1</v>
      </c>
      <c r="H131" s="3" t="n">
        <v>97.40000000000001</v>
      </c>
      <c r="I131" s="3" t="n">
        <v>68.12</v>
      </c>
      <c r="J131" s="3" t="n">
        <v>97.40000000000001</v>
      </c>
    </row>
    <row r="132">
      <c r="A132" s="2" t="n">
        <v>46300</v>
      </c>
      <c r="B132" t="inlineStr">
        <is>
          <t>Luis</t>
        </is>
      </c>
      <c r="C132" t="inlineStr">
        <is>
          <t>Sol Logística</t>
        </is>
      </c>
      <c r="D132" t="inlineStr">
        <is>
          <t>Norte</t>
        </is>
      </c>
      <c r="E132" t="inlineStr">
        <is>
          <t>Licencia anual</t>
        </is>
      </c>
      <c r="F132" t="inlineStr">
        <is>
          <t>Software</t>
        </is>
      </c>
      <c r="G132" t="n">
        <v>1</v>
      </c>
      <c r="H132" s="3" t="n">
        <v>470.74</v>
      </c>
      <c r="I132" s="3" t="n">
        <v>316.67</v>
      </c>
      <c r="J132" s="3" t="n">
        <v>470.74</v>
      </c>
    </row>
    <row r="133">
      <c r="A133" s="2" t="n">
        <v>46318</v>
      </c>
      <c r="B133" t="inlineStr">
        <is>
          <t>Luis</t>
        </is>
      </c>
      <c r="C133" t="inlineStr">
        <is>
          <t>Lago Tech</t>
        </is>
      </c>
      <c r="D133" t="inlineStr">
        <is>
          <t>Norte</t>
        </is>
      </c>
      <c r="E133" t="inlineStr">
        <is>
          <t>Soporte mensual</t>
        </is>
      </c>
      <c r="F133" t="inlineStr">
        <is>
          <t>Servicios</t>
        </is>
      </c>
      <c r="G133" t="n">
        <v>1</v>
      </c>
      <c r="H133" s="3" t="n">
        <v>267.88</v>
      </c>
      <c r="I133" s="3" t="n">
        <v>179.23</v>
      </c>
      <c r="J133" s="3" t="n">
        <v>267.88</v>
      </c>
    </row>
    <row r="134">
      <c r="A134" s="2" t="n">
        <v>46321</v>
      </c>
      <c r="B134" t="inlineStr">
        <is>
          <t>Luis</t>
        </is>
      </c>
      <c r="C134" t="inlineStr">
        <is>
          <t>Andes S.A.</t>
        </is>
      </c>
      <c r="D134" t="inlineStr">
        <is>
          <t>Sur</t>
        </is>
      </c>
      <c r="E134" t="inlineStr">
        <is>
          <t>Capacitación</t>
        </is>
      </c>
      <c r="F134" t="inlineStr">
        <is>
          <t>Formación</t>
        </is>
      </c>
      <c r="G134" t="n">
        <v>1</v>
      </c>
      <c r="H134" s="3" t="n">
        <v>347.43</v>
      </c>
      <c r="I134" s="3" t="n">
        <v>259</v>
      </c>
      <c r="J134" s="3" t="n">
        <v>347.43</v>
      </c>
    </row>
    <row r="135">
      <c r="A135" s="2" t="n">
        <v>46312</v>
      </c>
      <c r="B135" t="inlineStr">
        <is>
          <t>Carla</t>
        </is>
      </c>
      <c r="C135" t="inlineStr">
        <is>
          <t>Huaca Import</t>
        </is>
      </c>
      <c r="D135" t="inlineStr">
        <is>
          <t>Norte</t>
        </is>
      </c>
      <c r="E135" t="inlineStr">
        <is>
          <t>Consultoría (hora)</t>
        </is>
      </c>
      <c r="F135" t="inlineStr">
        <is>
          <t>Servicios</t>
        </is>
      </c>
      <c r="G135" t="n">
        <v>1</v>
      </c>
      <c r="H135" s="3" t="n">
        <v>95.31</v>
      </c>
      <c r="I135" s="3" t="n">
        <v>65.69</v>
      </c>
      <c r="J135" s="3" t="n">
        <v>95.31</v>
      </c>
    </row>
    <row r="136">
      <c r="A136" s="2" t="n">
        <v>46304</v>
      </c>
      <c r="B136" t="inlineStr">
        <is>
          <t>Ana</t>
        </is>
      </c>
      <c r="C136" t="inlineStr">
        <is>
          <t>Sol Foods</t>
        </is>
      </c>
      <c r="D136" t="inlineStr">
        <is>
          <t>Norte</t>
        </is>
      </c>
      <c r="E136" t="inlineStr">
        <is>
          <t>Consultoría (hora)</t>
        </is>
      </c>
      <c r="F136" t="inlineStr">
        <is>
          <t>Servicios</t>
        </is>
      </c>
      <c r="G136" t="n">
        <v>1</v>
      </c>
      <c r="H136" s="3" t="n">
        <v>87</v>
      </c>
      <c r="I136" s="3" t="n">
        <v>54.33</v>
      </c>
      <c r="J136" s="3" t="n">
        <v>87</v>
      </c>
    </row>
    <row r="137">
      <c r="A137" s="2" t="n">
        <v>46312</v>
      </c>
      <c r="B137" t="inlineStr">
        <is>
          <t>Luis</t>
        </is>
      </c>
      <c r="C137" t="inlineStr">
        <is>
          <t>Quipu Foods</t>
        </is>
      </c>
      <c r="D137" t="inlineStr">
        <is>
          <t>Centro</t>
        </is>
      </c>
      <c r="E137" t="inlineStr">
        <is>
          <t>Licencia anual</t>
        </is>
      </c>
      <c r="F137" t="inlineStr">
        <is>
          <t>Software</t>
        </is>
      </c>
      <c r="G137" t="n">
        <v>1</v>
      </c>
      <c r="H137" s="3" t="n">
        <v>459.03</v>
      </c>
      <c r="I137" s="3" t="n">
        <v>306.45</v>
      </c>
      <c r="J137" s="3" t="n">
        <v>459.03</v>
      </c>
    </row>
    <row r="138">
      <c r="A138" s="2" t="n">
        <v>46313</v>
      </c>
      <c r="B138" t="inlineStr">
        <is>
          <t>Luis</t>
        </is>
      </c>
      <c r="C138" t="inlineStr">
        <is>
          <t>Quipu Tech</t>
        </is>
      </c>
      <c r="D138" t="inlineStr">
        <is>
          <t>Centro</t>
        </is>
      </c>
      <c r="E138" t="inlineStr">
        <is>
          <t>Capacitación</t>
        </is>
      </c>
      <c r="F138" t="inlineStr">
        <is>
          <t>Formación</t>
        </is>
      </c>
      <c r="G138" t="n">
        <v>1</v>
      </c>
      <c r="H138" s="3" t="n">
        <v>328.33</v>
      </c>
      <c r="I138" s="3" t="n">
        <v>234.84</v>
      </c>
      <c r="J138" s="3" t="n">
        <v>328.33</v>
      </c>
    </row>
    <row r="139">
      <c r="A139" s="2" t="n">
        <v>46299</v>
      </c>
      <c r="B139" t="inlineStr">
        <is>
          <t>Luis</t>
        </is>
      </c>
      <c r="C139" t="inlineStr">
        <is>
          <t>Puna Logística</t>
        </is>
      </c>
      <c r="D139" t="inlineStr">
        <is>
          <t>Centro</t>
        </is>
      </c>
      <c r="E139" t="inlineStr">
        <is>
          <t>Soporte mensual</t>
        </is>
      </c>
      <c r="F139" t="inlineStr">
        <is>
          <t>Servicios</t>
        </is>
      </c>
      <c r="G139" t="n">
        <v>1</v>
      </c>
      <c r="H139" s="3" t="n">
        <v>258.62</v>
      </c>
      <c r="I139" s="3" t="n">
        <v>155.89</v>
      </c>
      <c r="J139" s="3" t="n">
        <v>258.62</v>
      </c>
    </row>
    <row r="140">
      <c r="A140" s="2" t="n">
        <v>46310</v>
      </c>
      <c r="B140" t="inlineStr">
        <is>
          <t>Ana</t>
        </is>
      </c>
      <c r="C140" t="inlineStr">
        <is>
          <t>Bahía Comercial</t>
        </is>
      </c>
      <c r="D140" t="inlineStr">
        <is>
          <t>Sur</t>
        </is>
      </c>
      <c r="E140" t="inlineStr">
        <is>
          <t>Licencia anual</t>
        </is>
      </c>
      <c r="F140" t="inlineStr">
        <is>
          <t>Software</t>
        </is>
      </c>
      <c r="G140" t="n">
        <v>1</v>
      </c>
      <c r="H140" s="3" t="n">
        <v>431.91</v>
      </c>
      <c r="I140" s="3" t="n">
        <v>272.6</v>
      </c>
      <c r="J140" s="3" t="n">
        <v>431.91</v>
      </c>
    </row>
    <row r="141">
      <c r="A141" s="2" t="n">
        <v>46301</v>
      </c>
      <c r="B141" t="inlineStr">
        <is>
          <t>Jorge</t>
        </is>
      </c>
      <c r="C141" t="inlineStr">
        <is>
          <t>Jade Tech</t>
        </is>
      </c>
      <c r="D141" t="inlineStr">
        <is>
          <t>Centro</t>
        </is>
      </c>
      <c r="E141" t="inlineStr">
        <is>
          <t>Capacitación</t>
        </is>
      </c>
      <c r="F141" t="inlineStr">
        <is>
          <t>Formación</t>
        </is>
      </c>
      <c r="G141" t="n">
        <v>1</v>
      </c>
      <c r="H141" s="3" t="n">
        <v>338.76</v>
      </c>
      <c r="I141" s="3" t="n">
        <v>206.77</v>
      </c>
      <c r="J141" s="3" t="n">
        <v>338.76</v>
      </c>
    </row>
    <row r="142">
      <c r="A142" s="2" t="n">
        <v>46296</v>
      </c>
      <c r="B142" t="inlineStr">
        <is>
          <t>Luis</t>
        </is>
      </c>
      <c r="C142" t="inlineStr">
        <is>
          <t>Eco S.A.C.</t>
        </is>
      </c>
      <c r="D142" t="inlineStr">
        <is>
          <t>Centro</t>
        </is>
      </c>
      <c r="E142" t="inlineStr">
        <is>
          <t>Soporte mensual</t>
        </is>
      </c>
      <c r="F142" t="inlineStr">
        <is>
          <t>Servicios</t>
        </is>
      </c>
      <c r="G142" t="n">
        <v>1</v>
      </c>
      <c r="H142" s="3" t="n">
        <v>267.11</v>
      </c>
      <c r="I142" s="3" t="n">
        <v>199.44</v>
      </c>
      <c r="J142" s="3" t="n">
        <v>267.11</v>
      </c>
    </row>
    <row r="143">
      <c r="A143" s="2" t="n">
        <v>46307</v>
      </c>
      <c r="B143" t="inlineStr">
        <is>
          <t>Carla</t>
        </is>
      </c>
      <c r="C143" t="inlineStr">
        <is>
          <t>Fénix S.A.C.</t>
        </is>
      </c>
      <c r="D143" t="inlineStr">
        <is>
          <t>Norte</t>
        </is>
      </c>
      <c r="E143" t="inlineStr">
        <is>
          <t>Soporte mensual</t>
        </is>
      </c>
      <c r="F143" t="inlineStr">
        <is>
          <t>Servicios</t>
        </is>
      </c>
      <c r="G143" t="n">
        <v>1</v>
      </c>
      <c r="H143" s="3" t="n">
        <v>228.99</v>
      </c>
      <c r="I143" s="3" t="n">
        <v>146.53</v>
      </c>
      <c r="J143" s="3" t="n">
        <v>228.99</v>
      </c>
    </row>
    <row r="144">
      <c r="A144" s="2" t="n">
        <v>46317</v>
      </c>
      <c r="B144" t="inlineStr">
        <is>
          <t>Luis</t>
        </is>
      </c>
      <c r="C144" t="inlineStr">
        <is>
          <t>Sol S.A.</t>
        </is>
      </c>
      <c r="D144" t="inlineStr">
        <is>
          <t>Norte</t>
        </is>
      </c>
      <c r="E144" t="inlineStr">
        <is>
          <t>Consultoría (hora)</t>
        </is>
      </c>
      <c r="F144" t="inlineStr">
        <is>
          <t>Servicios</t>
        </is>
      </c>
      <c r="G144" t="n">
        <v>1</v>
      </c>
      <c r="H144" s="3" t="n">
        <v>99.2</v>
      </c>
      <c r="I144" s="3" t="n">
        <v>61.29</v>
      </c>
      <c r="J144" s="3" t="n">
        <v>99.2</v>
      </c>
    </row>
    <row r="145">
      <c r="A145" s="2" t="n">
        <v>46318</v>
      </c>
      <c r="B145" t="inlineStr">
        <is>
          <t>Jorge</t>
        </is>
      </c>
      <c r="C145" t="inlineStr">
        <is>
          <t>Puna S.A.</t>
        </is>
      </c>
      <c r="D145" t="inlineStr">
        <is>
          <t>Centro</t>
        </is>
      </c>
      <c r="E145" t="inlineStr">
        <is>
          <t>Licencia anual</t>
        </is>
      </c>
      <c r="F145" t="inlineStr">
        <is>
          <t>Software</t>
        </is>
      </c>
      <c r="G145" t="n">
        <v>1</v>
      </c>
      <c r="H145" s="3" t="n">
        <v>458.55</v>
      </c>
      <c r="I145" s="3" t="n">
        <v>326.2</v>
      </c>
      <c r="J145" s="3" t="n">
        <v>458.55</v>
      </c>
    </row>
    <row r="146">
      <c r="A146" s="2" t="n">
        <v>46307</v>
      </c>
      <c r="B146" t="inlineStr">
        <is>
          <t>Ana</t>
        </is>
      </c>
      <c r="C146" t="inlineStr">
        <is>
          <t>Quipu Logística</t>
        </is>
      </c>
      <c r="D146" t="inlineStr">
        <is>
          <t>Sur</t>
        </is>
      </c>
      <c r="E146" t="inlineStr">
        <is>
          <t>Licencia anual</t>
        </is>
      </c>
      <c r="F146" t="inlineStr">
        <is>
          <t>Software</t>
        </is>
      </c>
      <c r="G146" t="n">
        <v>1</v>
      </c>
      <c r="H146" s="3" t="n">
        <v>438.45</v>
      </c>
      <c r="I146" s="3" t="n">
        <v>281.49</v>
      </c>
      <c r="J146" s="3" t="n">
        <v>438.45</v>
      </c>
    </row>
    <row r="147">
      <c r="A147" s="2" t="n">
        <v>46306</v>
      </c>
      <c r="B147" t="inlineStr">
        <is>
          <t>Carla</t>
        </is>
      </c>
      <c r="C147" t="inlineStr">
        <is>
          <t>Andes Group</t>
        </is>
      </c>
      <c r="D147" t="inlineStr">
        <is>
          <t>Norte</t>
        </is>
      </c>
      <c r="E147" t="inlineStr">
        <is>
          <t>Soporte mensual</t>
        </is>
      </c>
      <c r="F147" t="inlineStr">
        <is>
          <t>Servicios</t>
        </is>
      </c>
      <c r="G147" t="n">
        <v>1</v>
      </c>
      <c r="H147" s="3" t="n">
        <v>241.39</v>
      </c>
      <c r="I147" s="3" t="n">
        <v>153.17</v>
      </c>
      <c r="J147" s="3" t="n">
        <v>241.39</v>
      </c>
    </row>
    <row r="148">
      <c r="A148" s="2" t="n">
        <v>46298</v>
      </c>
      <c r="B148" t="inlineStr">
        <is>
          <t>Jorge</t>
        </is>
      </c>
      <c r="C148" t="inlineStr">
        <is>
          <t>Gama Foods</t>
        </is>
      </c>
      <c r="D148" t="inlineStr">
        <is>
          <t>Centro</t>
        </is>
      </c>
      <c r="E148" t="inlineStr">
        <is>
          <t>Licencia anual</t>
        </is>
      </c>
      <c r="F148" t="inlineStr">
        <is>
          <t>Software</t>
        </is>
      </c>
      <c r="G148" t="n">
        <v>1</v>
      </c>
      <c r="H148" s="3" t="n">
        <v>447.93</v>
      </c>
      <c r="I148" s="3" t="n">
        <v>269.03</v>
      </c>
      <c r="J148" s="3" t="n">
        <v>447.93</v>
      </c>
    </row>
    <row r="149">
      <c r="A149" s="2" t="n">
        <v>46311</v>
      </c>
      <c r="B149" t="inlineStr">
        <is>
          <t>Jorge</t>
        </is>
      </c>
      <c r="C149" t="inlineStr">
        <is>
          <t>Eco Import</t>
        </is>
      </c>
      <c r="D149" t="inlineStr">
        <is>
          <t>Sur</t>
        </is>
      </c>
      <c r="E149" t="inlineStr">
        <is>
          <t>Soporte mensual</t>
        </is>
      </c>
      <c r="F149" t="inlineStr">
        <is>
          <t>Servicios</t>
        </is>
      </c>
      <c r="G149" t="n">
        <v>1</v>
      </c>
      <c r="H149" s="3" t="n">
        <v>232.91</v>
      </c>
      <c r="I149" s="3" t="n">
        <v>155.05</v>
      </c>
      <c r="J149" s="3" t="n">
        <v>232.91</v>
      </c>
    </row>
    <row r="150">
      <c r="A150" s="2" t="n">
        <v>46301</v>
      </c>
      <c r="B150" t="inlineStr">
        <is>
          <t>Jorge</t>
        </is>
      </c>
      <c r="C150" t="inlineStr">
        <is>
          <t>Huaca Foods</t>
        </is>
      </c>
      <c r="D150" t="inlineStr">
        <is>
          <t>Centro</t>
        </is>
      </c>
      <c r="E150" t="inlineStr">
        <is>
          <t>Licencia anual</t>
        </is>
      </c>
      <c r="F150" t="inlineStr">
        <is>
          <t>Software</t>
        </is>
      </c>
      <c r="G150" t="n">
        <v>1</v>
      </c>
      <c r="H150" s="3" t="n">
        <v>467.27</v>
      </c>
      <c r="I150" s="3" t="n">
        <v>286.85</v>
      </c>
      <c r="J150" s="3" t="n">
        <v>467.27</v>
      </c>
    </row>
    <row r="151">
      <c r="A151" s="2" t="n">
        <v>46322</v>
      </c>
      <c r="B151" t="inlineStr">
        <is>
          <t>Jorge</t>
        </is>
      </c>
      <c r="C151" t="inlineStr">
        <is>
          <t>Delta S.A.C.</t>
        </is>
      </c>
      <c r="D151" t="inlineStr">
        <is>
          <t>Norte</t>
        </is>
      </c>
      <c r="E151" t="inlineStr">
        <is>
          <t>Capacitación</t>
        </is>
      </c>
      <c r="F151" t="inlineStr">
        <is>
          <t>Formación</t>
        </is>
      </c>
      <c r="G151" t="n">
        <v>1</v>
      </c>
      <c r="H151" s="3" t="n">
        <v>332.01</v>
      </c>
      <c r="I151" s="3" t="n">
        <v>236.29</v>
      </c>
      <c r="J151" s="3" t="n">
        <v>332.01</v>
      </c>
    </row>
    <row r="152">
      <c r="A152" s="2" t="n">
        <v>46303</v>
      </c>
      <c r="B152" t="inlineStr">
        <is>
          <t>Ana</t>
        </is>
      </c>
      <c r="C152" t="inlineStr">
        <is>
          <t>Huaca Tech</t>
        </is>
      </c>
      <c r="D152" t="inlineStr">
        <is>
          <t>Centro</t>
        </is>
      </c>
      <c r="E152" t="inlineStr">
        <is>
          <t>Consultoría (hora)</t>
        </is>
      </c>
      <c r="F152" t="inlineStr">
        <is>
          <t>Servicios</t>
        </is>
      </c>
      <c r="G152" t="n">
        <v>1</v>
      </c>
      <c r="H152" s="3" t="n">
        <v>95.97</v>
      </c>
      <c r="I152" s="3" t="n">
        <v>71.44</v>
      </c>
      <c r="J152" s="3" t="n">
        <v>95.97</v>
      </c>
    </row>
    <row r="153">
      <c r="A153" s="2" t="n">
        <v>46308</v>
      </c>
      <c r="B153" t="inlineStr">
        <is>
          <t>Carla</t>
        </is>
      </c>
      <c r="C153" t="inlineStr">
        <is>
          <t>Mistura S.A.</t>
        </is>
      </c>
      <c r="D153" t="inlineStr">
        <is>
          <t>Sur</t>
        </is>
      </c>
      <c r="E153" t="inlineStr">
        <is>
          <t>Soporte mensual</t>
        </is>
      </c>
      <c r="F153" t="inlineStr">
        <is>
          <t>Servicios</t>
        </is>
      </c>
      <c r="G153" t="n">
        <v>1</v>
      </c>
      <c r="H153" s="3" t="n">
        <v>268.68</v>
      </c>
      <c r="I153" s="3" t="n">
        <v>173.92</v>
      </c>
      <c r="J153" s="3" t="n">
        <v>268.68</v>
      </c>
    </row>
    <row r="154">
      <c r="A154" s="2" t="n">
        <v>46309</v>
      </c>
      <c r="B154" t="inlineStr">
        <is>
          <t>Luis</t>
        </is>
      </c>
      <c r="C154" t="inlineStr">
        <is>
          <t>Eco Ltda.</t>
        </is>
      </c>
      <c r="D154" t="inlineStr">
        <is>
          <t>Centro</t>
        </is>
      </c>
      <c r="E154" t="inlineStr">
        <is>
          <t>Capacitación</t>
        </is>
      </c>
      <c r="F154" t="inlineStr">
        <is>
          <t>Formación</t>
        </is>
      </c>
      <c r="G154" t="n">
        <v>1</v>
      </c>
      <c r="H154" s="3" t="n">
        <v>346.99</v>
      </c>
      <c r="I154" s="3" t="n">
        <v>250.01</v>
      </c>
      <c r="J154" s="3" t="n">
        <v>346.99</v>
      </c>
    </row>
    <row r="155">
      <c r="A155" s="2" t="n">
        <v>46296</v>
      </c>
      <c r="B155" t="inlineStr">
        <is>
          <t>Carla</t>
        </is>
      </c>
      <c r="C155" t="inlineStr">
        <is>
          <t>Puna Retail</t>
        </is>
      </c>
      <c r="D155" t="inlineStr">
        <is>
          <t>Norte</t>
        </is>
      </c>
      <c r="E155" t="inlineStr">
        <is>
          <t>Soporte mensual</t>
        </is>
      </c>
      <c r="F155" t="inlineStr">
        <is>
          <t>Servicios</t>
        </is>
      </c>
      <c r="G155" t="n">
        <v>1</v>
      </c>
      <c r="H155" s="3" t="n">
        <v>256.16</v>
      </c>
      <c r="I155" s="3" t="n">
        <v>191.7</v>
      </c>
      <c r="J155" s="3" t="n">
        <v>256.16</v>
      </c>
    </row>
    <row r="156">
      <c r="A156" s="2" t="n">
        <v>46306</v>
      </c>
      <c r="B156" t="inlineStr">
        <is>
          <t>Carla</t>
        </is>
      </c>
      <c r="C156" t="inlineStr">
        <is>
          <t>Quipu Servicios</t>
        </is>
      </c>
      <c r="D156" t="inlineStr">
        <is>
          <t>Norte</t>
        </is>
      </c>
      <c r="E156" t="inlineStr">
        <is>
          <t>Licencia anual</t>
        </is>
      </c>
      <c r="F156" t="inlineStr">
        <is>
          <t>Software</t>
        </is>
      </c>
      <c r="G156" t="n">
        <v>1</v>
      </c>
      <c r="H156" s="3" t="n">
        <v>429.82</v>
      </c>
      <c r="I156" s="3" t="n">
        <v>262.78</v>
      </c>
      <c r="J156" s="3" t="n">
        <v>429.82</v>
      </c>
    </row>
    <row r="157">
      <c r="A157" s="2" t="n">
        <v>46304</v>
      </c>
      <c r="B157" t="inlineStr">
        <is>
          <t>Luis</t>
        </is>
      </c>
      <c r="C157" t="inlineStr">
        <is>
          <t>Ícaro Retail</t>
        </is>
      </c>
      <c r="D157" t="inlineStr">
        <is>
          <t>Centro</t>
        </is>
      </c>
      <c r="E157" t="inlineStr">
        <is>
          <t>Soporte mensual</t>
        </is>
      </c>
      <c r="F157" t="inlineStr">
        <is>
          <t>Servicios</t>
        </is>
      </c>
      <c r="G157" t="n">
        <v>1</v>
      </c>
      <c r="H157" s="3" t="n">
        <v>230.4</v>
      </c>
      <c r="I157" s="3" t="n">
        <v>152.89</v>
      </c>
      <c r="J157" s="3" t="n">
        <v>230.4</v>
      </c>
    </row>
    <row r="158">
      <c r="A158" s="2" t="n">
        <v>46320</v>
      </c>
      <c r="B158" t="inlineStr">
        <is>
          <t>Ana</t>
        </is>
      </c>
      <c r="C158" t="inlineStr">
        <is>
          <t>Sol Import</t>
        </is>
      </c>
      <c r="D158" t="inlineStr">
        <is>
          <t>Sur</t>
        </is>
      </c>
      <c r="E158" t="inlineStr">
        <is>
          <t>Soporte mensual</t>
        </is>
      </c>
      <c r="F158" t="inlineStr">
        <is>
          <t>Servicios</t>
        </is>
      </c>
      <c r="G158" t="n">
        <v>1</v>
      </c>
      <c r="H158" s="3" t="n">
        <v>245.71</v>
      </c>
      <c r="I158" s="3" t="n">
        <v>155.04</v>
      </c>
      <c r="J158" s="3" t="n">
        <v>245.71</v>
      </c>
    </row>
    <row r="159">
      <c r="A159" s="2" t="n">
        <v>46321</v>
      </c>
      <c r="B159" t="inlineStr">
        <is>
          <t>Luis</t>
        </is>
      </c>
      <c r="C159" t="inlineStr">
        <is>
          <t>Sol Comercial</t>
        </is>
      </c>
      <c r="D159" t="inlineStr">
        <is>
          <t>Norte</t>
        </is>
      </c>
      <c r="E159" t="inlineStr">
        <is>
          <t>Capacitación</t>
        </is>
      </c>
      <c r="F159" t="inlineStr">
        <is>
          <t>Formación</t>
        </is>
      </c>
      <c r="G159" t="n">
        <v>1</v>
      </c>
      <c r="H159" s="3" t="n">
        <v>306.55</v>
      </c>
      <c r="I159" s="3" t="n">
        <v>186.29</v>
      </c>
      <c r="J159" s="3" t="n">
        <v>306.55</v>
      </c>
    </row>
    <row r="160">
      <c r="A160" s="2" t="n">
        <v>46298</v>
      </c>
      <c r="B160" t="inlineStr">
        <is>
          <t>Carla</t>
        </is>
      </c>
      <c r="C160" t="inlineStr">
        <is>
          <t>Mistura Group</t>
        </is>
      </c>
      <c r="D160" t="inlineStr">
        <is>
          <t>Sur</t>
        </is>
      </c>
      <c r="E160" t="inlineStr">
        <is>
          <t>Soporte mensual</t>
        </is>
      </c>
      <c r="F160" t="inlineStr">
        <is>
          <t>Servicios</t>
        </is>
      </c>
      <c r="G160" t="n">
        <v>1</v>
      </c>
      <c r="H160" s="3" t="n">
        <v>264.59</v>
      </c>
      <c r="I160" s="3" t="n">
        <v>180</v>
      </c>
      <c r="J160" s="3" t="n">
        <v>264.59</v>
      </c>
    </row>
    <row r="161">
      <c r="A161" s="2" t="n">
        <v>46299</v>
      </c>
      <c r="B161" t="inlineStr">
        <is>
          <t>Ana</t>
        </is>
      </c>
      <c r="C161" t="inlineStr">
        <is>
          <t>Eco Servicios</t>
        </is>
      </c>
      <c r="D161" t="inlineStr">
        <is>
          <t>Sur</t>
        </is>
      </c>
      <c r="E161" t="inlineStr">
        <is>
          <t>Capacitación</t>
        </is>
      </c>
      <c r="F161" t="inlineStr">
        <is>
          <t>Formación</t>
        </is>
      </c>
      <c r="G161" t="n">
        <v>1</v>
      </c>
      <c r="H161" s="3" t="n">
        <v>299.02</v>
      </c>
      <c r="I161" s="3" t="n">
        <v>198.9</v>
      </c>
      <c r="J161" s="3" t="n">
        <v>299.02</v>
      </c>
    </row>
    <row r="162">
      <c r="A162" s="2" t="n">
        <v>46322</v>
      </c>
      <c r="B162" t="inlineStr">
        <is>
          <t>Jorge</t>
        </is>
      </c>
      <c r="C162" t="inlineStr">
        <is>
          <t>Puna Import</t>
        </is>
      </c>
      <c r="D162" t="inlineStr">
        <is>
          <t>Centro</t>
        </is>
      </c>
      <c r="E162" t="inlineStr">
        <is>
          <t>Soporte mensual</t>
        </is>
      </c>
      <c r="F162" t="inlineStr">
        <is>
          <t>Servicios</t>
        </is>
      </c>
      <c r="G162" t="n">
        <v>1</v>
      </c>
      <c r="H162" s="3" t="n">
        <v>271.11</v>
      </c>
      <c r="I162" s="3" t="n">
        <v>185.43</v>
      </c>
      <c r="J162" s="3" t="n">
        <v>271.11</v>
      </c>
    </row>
    <row r="163">
      <c r="A163" s="2" t="n">
        <v>46311</v>
      </c>
      <c r="B163" t="inlineStr">
        <is>
          <t>Carla</t>
        </is>
      </c>
      <c r="C163" t="inlineStr">
        <is>
          <t>Cóndor Comercial</t>
        </is>
      </c>
      <c r="D163" t="inlineStr">
        <is>
          <t>Centro</t>
        </is>
      </c>
      <c r="E163" t="inlineStr">
        <is>
          <t>Capacitación</t>
        </is>
      </c>
      <c r="F163" t="inlineStr">
        <is>
          <t>Formación</t>
        </is>
      </c>
      <c r="G163" t="n">
        <v>1</v>
      </c>
      <c r="H163" s="3" t="n">
        <v>296.77</v>
      </c>
      <c r="I163" s="3" t="n">
        <v>185.99</v>
      </c>
      <c r="J163" s="3" t="n">
        <v>296.77</v>
      </c>
    </row>
    <row r="164">
      <c r="A164" s="2" t="n">
        <v>46305</v>
      </c>
      <c r="B164" t="inlineStr">
        <is>
          <t>Jorge</t>
        </is>
      </c>
      <c r="C164" t="inlineStr">
        <is>
          <t>Eco Foods</t>
        </is>
      </c>
      <c r="D164" t="inlineStr">
        <is>
          <t>Sur</t>
        </is>
      </c>
      <c r="E164" t="inlineStr">
        <is>
          <t>Licencia anual</t>
        </is>
      </c>
      <c r="F164" t="inlineStr">
        <is>
          <t>Software</t>
        </is>
      </c>
      <c r="G164" t="n">
        <v>1</v>
      </c>
      <c r="H164" s="3" t="n">
        <v>414.09</v>
      </c>
      <c r="I164" s="3" t="n">
        <v>294.34</v>
      </c>
      <c r="J164" s="3" t="n">
        <v>414.09</v>
      </c>
    </row>
    <row r="165">
      <c r="A165" s="2" t="n">
        <v>46297</v>
      </c>
      <c r="B165" t="inlineStr">
        <is>
          <t>Ana</t>
        </is>
      </c>
      <c r="C165" t="inlineStr">
        <is>
          <t>Tika Logística</t>
        </is>
      </c>
      <c r="D165" t="inlineStr">
        <is>
          <t>Sur</t>
        </is>
      </c>
      <c r="E165" t="inlineStr">
        <is>
          <t>Soporte mensual</t>
        </is>
      </c>
      <c r="F165" t="inlineStr">
        <is>
          <t>Servicios</t>
        </is>
      </c>
      <c r="G165" t="n">
        <v>1</v>
      </c>
      <c r="H165" s="3" t="n">
        <v>270.9</v>
      </c>
      <c r="I165" s="3" t="n">
        <v>163.69</v>
      </c>
      <c r="J165" s="3" t="n">
        <v>270.9</v>
      </c>
    </row>
    <row r="166">
      <c r="A166" s="2" t="n">
        <v>46305</v>
      </c>
      <c r="B166" t="inlineStr">
        <is>
          <t>Luis</t>
        </is>
      </c>
      <c r="C166" t="inlineStr">
        <is>
          <t>Tika Ltda.</t>
        </is>
      </c>
      <c r="D166" t="inlineStr">
        <is>
          <t>Centro</t>
        </is>
      </c>
      <c r="E166" t="inlineStr">
        <is>
          <t>Capacitación</t>
        </is>
      </c>
      <c r="F166" t="inlineStr">
        <is>
          <t>Formación</t>
        </is>
      </c>
      <c r="G166" t="n">
        <v>1</v>
      </c>
      <c r="H166" s="3" t="n">
        <v>337.14</v>
      </c>
      <c r="I166" s="3" t="n">
        <v>237.96</v>
      </c>
      <c r="J166" s="3" t="n">
        <v>337.14</v>
      </c>
    </row>
    <row r="167">
      <c r="A167" s="2" t="n">
        <v>46306</v>
      </c>
      <c r="B167" t="inlineStr">
        <is>
          <t>Ana</t>
        </is>
      </c>
      <c r="C167" t="inlineStr">
        <is>
          <t>Nexo Ltda.</t>
        </is>
      </c>
      <c r="D167" t="inlineStr">
        <is>
          <t>Centro</t>
        </is>
      </c>
      <c r="E167" t="inlineStr">
        <is>
          <t>Licencia anual</t>
        </is>
      </c>
      <c r="F167" t="inlineStr">
        <is>
          <t>Software</t>
        </is>
      </c>
      <c r="G167" t="n">
        <v>1</v>
      </c>
      <c r="H167" s="3" t="n">
        <v>461.48</v>
      </c>
      <c r="I167" s="3" t="n">
        <v>336.67</v>
      </c>
      <c r="J167" s="3" t="n">
        <v>461.48</v>
      </c>
    </row>
    <row r="168">
      <c r="A168" s="2" t="n">
        <v>46299</v>
      </c>
      <c r="B168" t="inlineStr">
        <is>
          <t>Ana</t>
        </is>
      </c>
      <c r="C168" t="inlineStr">
        <is>
          <t>Mistura Logística</t>
        </is>
      </c>
      <c r="D168" t="inlineStr">
        <is>
          <t>Norte</t>
        </is>
      </c>
      <c r="E168" t="inlineStr">
        <is>
          <t>Soporte mensual</t>
        </is>
      </c>
      <c r="F168" t="inlineStr">
        <is>
          <t>Servicios</t>
        </is>
      </c>
      <c r="G168" t="n">
        <v>1</v>
      </c>
      <c r="H168" s="3" t="n">
        <v>249.33</v>
      </c>
      <c r="I168" s="3" t="n">
        <v>181.23</v>
      </c>
      <c r="J168" s="3" t="n">
        <v>249.33</v>
      </c>
    </row>
    <row r="169">
      <c r="A169" s="2" t="n">
        <v>46320</v>
      </c>
      <c r="B169" t="inlineStr">
        <is>
          <t>Carla</t>
        </is>
      </c>
      <c r="C169" t="inlineStr">
        <is>
          <t>Nexo Import</t>
        </is>
      </c>
      <c r="D169" t="inlineStr">
        <is>
          <t>Centro</t>
        </is>
      </c>
      <c r="E169" t="inlineStr">
        <is>
          <t>Licencia anual</t>
        </is>
      </c>
      <c r="F169" t="inlineStr">
        <is>
          <t>Software</t>
        </is>
      </c>
      <c r="G169" t="n">
        <v>1</v>
      </c>
      <c r="H169" s="3" t="n">
        <v>485.42</v>
      </c>
      <c r="I169" s="3" t="n">
        <v>361.43</v>
      </c>
      <c r="J169" s="3" t="n">
        <v>485.42</v>
      </c>
    </row>
    <row r="170">
      <c r="A170" s="2" t="n">
        <v>46303</v>
      </c>
      <c r="B170" t="inlineStr">
        <is>
          <t>Jorge</t>
        </is>
      </c>
      <c r="C170" t="inlineStr">
        <is>
          <t>Huaca Ltda.</t>
        </is>
      </c>
      <c r="D170" t="inlineStr">
        <is>
          <t>Sur</t>
        </is>
      </c>
      <c r="E170" t="inlineStr">
        <is>
          <t>Licencia anual</t>
        </is>
      </c>
      <c r="F170" t="inlineStr">
        <is>
          <t>Software</t>
        </is>
      </c>
      <c r="G170" t="n">
        <v>1</v>
      </c>
      <c r="H170" s="3" t="n">
        <v>449.82</v>
      </c>
      <c r="I170" s="3" t="n">
        <v>298.76</v>
      </c>
      <c r="J170" s="3" t="n">
        <v>449.82</v>
      </c>
    </row>
    <row r="171">
      <c r="A171" s="2" t="n">
        <v>46296</v>
      </c>
      <c r="B171" t="inlineStr">
        <is>
          <t>Jorge</t>
        </is>
      </c>
      <c r="C171" t="inlineStr">
        <is>
          <t>Gama S.A.</t>
        </is>
      </c>
      <c r="D171" t="inlineStr">
        <is>
          <t>Norte</t>
        </is>
      </c>
      <c r="E171" t="inlineStr">
        <is>
          <t>Licencia anual</t>
        </is>
      </c>
      <c r="F171" t="inlineStr">
        <is>
          <t>Software</t>
        </is>
      </c>
      <c r="G171" t="n">
        <v>1</v>
      </c>
      <c r="H171" s="3" t="n">
        <v>416.89</v>
      </c>
      <c r="I171" s="3" t="n">
        <v>262.42</v>
      </c>
      <c r="J171" s="3" t="n">
        <v>416.89</v>
      </c>
    </row>
    <row r="172">
      <c r="A172" s="2" t="n">
        <v>46321</v>
      </c>
      <c r="B172" t="inlineStr">
        <is>
          <t>Jorge</t>
        </is>
      </c>
      <c r="C172" t="inlineStr">
        <is>
          <t>Huaca S.A.C.</t>
        </is>
      </c>
      <c r="D172" t="inlineStr">
        <is>
          <t>Sur</t>
        </is>
      </c>
      <c r="E172" t="inlineStr">
        <is>
          <t>Consultoría (hora)</t>
        </is>
      </c>
      <c r="F172" t="inlineStr">
        <is>
          <t>Servicios</t>
        </is>
      </c>
      <c r="G172" t="n">
        <v>1</v>
      </c>
      <c r="H172" s="3" t="n">
        <v>88.76000000000001</v>
      </c>
      <c r="I172" s="3" t="n">
        <v>66.22</v>
      </c>
      <c r="J172" s="3" t="n">
        <v>88.76000000000001</v>
      </c>
    </row>
    <row r="173">
      <c r="A173" s="2" t="n">
        <v>46298</v>
      </c>
      <c r="B173" t="inlineStr">
        <is>
          <t>Luis</t>
        </is>
      </c>
      <c r="C173" t="inlineStr">
        <is>
          <t>Lago Group</t>
        </is>
      </c>
      <c r="D173" t="inlineStr">
        <is>
          <t>Sur</t>
        </is>
      </c>
      <c r="E173" t="inlineStr">
        <is>
          <t>Consultoría (hora)</t>
        </is>
      </c>
      <c r="F173" t="inlineStr">
        <is>
          <t>Servicios</t>
        </is>
      </c>
      <c r="G173" t="n">
        <v>1</v>
      </c>
      <c r="H173" s="3" t="n">
        <v>95.48999999999999</v>
      </c>
      <c r="I173" s="3" t="n">
        <v>67.70999999999999</v>
      </c>
      <c r="J173" s="3" t="n">
        <v>95.48999999999999</v>
      </c>
    </row>
    <row r="174">
      <c r="A174" s="2" t="n">
        <v>46296</v>
      </c>
      <c r="B174" t="inlineStr">
        <is>
          <t>Luis</t>
        </is>
      </c>
      <c r="C174" t="inlineStr">
        <is>
          <t>Ícaro Comercial</t>
        </is>
      </c>
      <c r="D174" t="inlineStr">
        <is>
          <t>Sur</t>
        </is>
      </c>
      <c r="E174" t="inlineStr">
        <is>
          <t>Capacitación</t>
        </is>
      </c>
      <c r="F174" t="inlineStr">
        <is>
          <t>Formación</t>
        </is>
      </c>
      <c r="G174" t="n">
        <v>1</v>
      </c>
      <c r="H174" s="3" t="n">
        <v>340.81</v>
      </c>
      <c r="I174" s="3" t="n">
        <v>246.82</v>
      </c>
      <c r="J174" s="3" t="n">
        <v>340.81</v>
      </c>
    </row>
    <row r="175">
      <c r="A175" s="2" t="n">
        <v>46309</v>
      </c>
      <c r="B175" t="inlineStr">
        <is>
          <t>Luis</t>
        </is>
      </c>
      <c r="C175" t="inlineStr">
        <is>
          <t>Delta Logística</t>
        </is>
      </c>
      <c r="D175" t="inlineStr">
        <is>
          <t>Norte</t>
        </is>
      </c>
      <c r="E175" t="inlineStr">
        <is>
          <t>Licencia anual</t>
        </is>
      </c>
      <c r="F175" t="inlineStr">
        <is>
          <t>Software</t>
        </is>
      </c>
      <c r="G175" t="n">
        <v>1</v>
      </c>
      <c r="H175" s="3" t="n">
        <v>455.37</v>
      </c>
      <c r="I175" s="3" t="n">
        <v>333.45</v>
      </c>
      <c r="J175" s="3" t="n">
        <v>455.37</v>
      </c>
    </row>
    <row r="176">
      <c r="A176" s="2" t="n">
        <v>46317</v>
      </c>
      <c r="B176" t="inlineStr">
        <is>
          <t>Carla</t>
        </is>
      </c>
      <c r="C176" t="inlineStr">
        <is>
          <t>Río Import</t>
        </is>
      </c>
      <c r="D176" t="inlineStr">
        <is>
          <t>Centro</t>
        </is>
      </c>
      <c r="E176" t="inlineStr">
        <is>
          <t>Licencia anual</t>
        </is>
      </c>
      <c r="F176" t="inlineStr">
        <is>
          <t>Software</t>
        </is>
      </c>
      <c r="G176" t="n">
        <v>1</v>
      </c>
      <c r="H176" s="3" t="n">
        <v>464.67</v>
      </c>
      <c r="I176" s="3" t="n">
        <v>290.22</v>
      </c>
      <c r="J176" s="3" t="n">
        <v>464.67</v>
      </c>
    </row>
    <row r="177">
      <c r="A177" s="2" t="n">
        <v>46310</v>
      </c>
      <c r="B177" t="inlineStr">
        <is>
          <t>Luis</t>
        </is>
      </c>
      <c r="C177" t="inlineStr">
        <is>
          <t>Ola S.A.C.</t>
        </is>
      </c>
      <c r="D177" t="inlineStr">
        <is>
          <t>Centro</t>
        </is>
      </c>
      <c r="E177" t="inlineStr">
        <is>
          <t>Licencia anual</t>
        </is>
      </c>
      <c r="F177" t="inlineStr">
        <is>
          <t>Software</t>
        </is>
      </c>
      <c r="G177" t="n">
        <v>1</v>
      </c>
      <c r="H177" s="3" t="n">
        <v>433.65</v>
      </c>
      <c r="I177" s="3" t="n">
        <v>271.37</v>
      </c>
      <c r="J177" s="3" t="n">
        <v>433.65</v>
      </c>
    </row>
    <row r="178">
      <c r="A178" s="2" t="n">
        <v>46323</v>
      </c>
      <c r="B178" t="inlineStr">
        <is>
          <t>Luis</t>
        </is>
      </c>
      <c r="C178" t="inlineStr">
        <is>
          <t>Quipu S.A.C.</t>
        </is>
      </c>
      <c r="D178" t="inlineStr">
        <is>
          <t>Centro</t>
        </is>
      </c>
      <c r="E178" t="inlineStr">
        <is>
          <t>Soporte mensual</t>
        </is>
      </c>
      <c r="F178" t="inlineStr">
        <is>
          <t>Servicios</t>
        </is>
      </c>
      <c r="G178" t="n">
        <v>1</v>
      </c>
      <c r="H178" s="3" t="n">
        <v>272.17</v>
      </c>
      <c r="I178" s="3" t="n">
        <v>185.32</v>
      </c>
      <c r="J178" s="3" t="n">
        <v>272.17</v>
      </c>
    </row>
    <row r="179">
      <c r="A179" s="2" t="n">
        <v>46305</v>
      </c>
      <c r="B179" t="inlineStr">
        <is>
          <t>Jorge</t>
        </is>
      </c>
      <c r="C179" t="inlineStr">
        <is>
          <t>Mistura Comercial</t>
        </is>
      </c>
      <c r="D179" t="inlineStr">
        <is>
          <t>Centro</t>
        </is>
      </c>
      <c r="E179" t="inlineStr">
        <is>
          <t>Consultoría (hora)</t>
        </is>
      </c>
      <c r="F179" t="inlineStr">
        <is>
          <t>Servicios</t>
        </is>
      </c>
      <c r="G179" t="n">
        <v>1</v>
      </c>
      <c r="H179" s="3" t="n">
        <v>103.73</v>
      </c>
      <c r="I179" s="3" t="n">
        <v>68.63</v>
      </c>
      <c r="J179" s="3" t="n">
        <v>103.73</v>
      </c>
    </row>
    <row r="180">
      <c r="A180" s="2" t="n">
        <v>46317</v>
      </c>
      <c r="B180" t="inlineStr">
        <is>
          <t>Ana</t>
        </is>
      </c>
      <c r="C180" t="inlineStr">
        <is>
          <t>Huaca Retail</t>
        </is>
      </c>
      <c r="D180" t="inlineStr">
        <is>
          <t>Centro</t>
        </is>
      </c>
      <c r="E180" t="inlineStr">
        <is>
          <t>Consultoría (hora)</t>
        </is>
      </c>
      <c r="F180" t="inlineStr">
        <is>
          <t>Servicios</t>
        </is>
      </c>
      <c r="G180" t="n">
        <v>1</v>
      </c>
      <c r="H180" s="3" t="n">
        <v>97.41</v>
      </c>
      <c r="I180" s="3" t="n">
        <v>65.12</v>
      </c>
      <c r="J180" s="3" t="n">
        <v>97.41</v>
      </c>
    </row>
    <row r="181">
      <c r="A181" s="2" t="n">
        <v>46312</v>
      </c>
      <c r="B181" t="inlineStr">
        <is>
          <t>Ana</t>
        </is>
      </c>
      <c r="C181" t="inlineStr">
        <is>
          <t>Cóndor Ltda.</t>
        </is>
      </c>
      <c r="D181" t="inlineStr">
        <is>
          <t>Sur</t>
        </is>
      </c>
      <c r="E181" t="inlineStr">
        <is>
          <t>Soporte mensual</t>
        </is>
      </c>
      <c r="F181" t="inlineStr">
        <is>
          <t>Servicios</t>
        </is>
      </c>
      <c r="G181" t="n">
        <v>1</v>
      </c>
      <c r="H181" s="3" t="n">
        <v>231.1</v>
      </c>
      <c r="I181" s="3" t="n">
        <v>161.6</v>
      </c>
      <c r="J181" s="3" t="n">
        <v>231.1</v>
      </c>
    </row>
    <row r="182">
      <c r="A182" s="2" t="n">
        <v>46297</v>
      </c>
      <c r="B182" t="inlineStr">
        <is>
          <t>Ana</t>
        </is>
      </c>
      <c r="C182" t="inlineStr">
        <is>
          <t>Cóndor S.A.C.</t>
        </is>
      </c>
      <c r="D182" t="inlineStr">
        <is>
          <t>Sur</t>
        </is>
      </c>
      <c r="E182" t="inlineStr">
        <is>
          <t>Soporte mensual</t>
        </is>
      </c>
      <c r="F182" t="inlineStr">
        <is>
          <t>Servicios</t>
        </is>
      </c>
      <c r="G182" t="n">
        <v>1</v>
      </c>
      <c r="H182" s="3" t="n">
        <v>232.25</v>
      </c>
      <c r="I182" s="3" t="n">
        <v>146.17</v>
      </c>
      <c r="J182" s="3" t="n">
        <v>232.25</v>
      </c>
    </row>
    <row r="183">
      <c r="A183" s="2" t="n">
        <v>46296</v>
      </c>
      <c r="B183" t="inlineStr">
        <is>
          <t>Jorge</t>
        </is>
      </c>
      <c r="C183" t="inlineStr">
        <is>
          <t>Andes Ltda.</t>
        </is>
      </c>
      <c r="D183" t="inlineStr">
        <is>
          <t>Centro</t>
        </is>
      </c>
      <c r="E183" t="inlineStr">
        <is>
          <t>Soporte mensual</t>
        </is>
      </c>
      <c r="F183" t="inlineStr">
        <is>
          <t>Servicios</t>
        </is>
      </c>
      <c r="G183" t="n">
        <v>1</v>
      </c>
      <c r="H183" s="3" t="n">
        <v>246.62</v>
      </c>
      <c r="I183" s="3" t="n">
        <v>164.16</v>
      </c>
      <c r="J183" s="3" t="n">
        <v>246.62</v>
      </c>
    </row>
    <row r="184">
      <c r="A184" s="2" t="n">
        <v>46302</v>
      </c>
      <c r="B184" t="inlineStr">
        <is>
          <t>Jorge</t>
        </is>
      </c>
      <c r="C184" t="inlineStr">
        <is>
          <t>Delta Servicios</t>
        </is>
      </c>
      <c r="D184" t="inlineStr">
        <is>
          <t>Centro</t>
        </is>
      </c>
      <c r="E184" t="inlineStr">
        <is>
          <t>Licencia anual</t>
        </is>
      </c>
      <c r="F184" t="inlineStr">
        <is>
          <t>Software</t>
        </is>
      </c>
      <c r="G184" t="n">
        <v>1</v>
      </c>
      <c r="H184" s="3" t="n">
        <v>408.89</v>
      </c>
      <c r="I184" s="3" t="n">
        <v>266.78</v>
      </c>
      <c r="J184" s="3" t="n">
        <v>408.89</v>
      </c>
    </row>
    <row r="185">
      <c r="A185" s="2" t="n">
        <v>46313</v>
      </c>
      <c r="B185" t="inlineStr">
        <is>
          <t>Carla</t>
        </is>
      </c>
      <c r="C185" t="inlineStr">
        <is>
          <t>Andes Retail</t>
        </is>
      </c>
      <c r="D185" t="inlineStr">
        <is>
          <t>Centro</t>
        </is>
      </c>
      <c r="E185" t="inlineStr">
        <is>
          <t>Soporte mensual</t>
        </is>
      </c>
      <c r="F185" t="inlineStr">
        <is>
          <t>Servicios</t>
        </is>
      </c>
      <c r="G185" t="n">
        <v>1</v>
      </c>
      <c r="H185" s="3" t="n">
        <v>238.47</v>
      </c>
      <c r="I185" s="3" t="n">
        <v>176.21</v>
      </c>
      <c r="J185" s="3" t="n">
        <v>238.47</v>
      </c>
    </row>
    <row r="186">
      <c r="A186" s="2" t="n">
        <v>46302</v>
      </c>
      <c r="B186" t="inlineStr">
        <is>
          <t>Carla</t>
        </is>
      </c>
      <c r="C186" t="inlineStr">
        <is>
          <t>Río Foods</t>
        </is>
      </c>
      <c r="D186" t="inlineStr">
        <is>
          <t>Centro</t>
        </is>
      </c>
      <c r="E186" t="inlineStr">
        <is>
          <t>Licencia anual</t>
        </is>
      </c>
      <c r="F186" t="inlineStr">
        <is>
          <t>Software</t>
        </is>
      </c>
      <c r="G186" t="n">
        <v>1</v>
      </c>
      <c r="H186" s="3" t="n">
        <v>455.2</v>
      </c>
      <c r="I186" s="3" t="n">
        <v>319.96</v>
      </c>
      <c r="J186" s="3" t="n">
        <v>455.2</v>
      </c>
    </row>
    <row r="187">
      <c r="A187" s="2" t="n">
        <v>46319</v>
      </c>
      <c r="B187" t="inlineStr">
        <is>
          <t>Jorge</t>
        </is>
      </c>
      <c r="C187" t="inlineStr">
        <is>
          <t>Ícaro S.A.C.</t>
        </is>
      </c>
      <c r="D187" t="inlineStr">
        <is>
          <t>Norte</t>
        </is>
      </c>
      <c r="E187" t="inlineStr">
        <is>
          <t>Capacitación</t>
        </is>
      </c>
      <c r="F187" t="inlineStr">
        <is>
          <t>Formación</t>
        </is>
      </c>
      <c r="G187" t="n">
        <v>1</v>
      </c>
      <c r="H187" s="3" t="n">
        <v>294.95</v>
      </c>
      <c r="I187" s="3" t="n">
        <v>183.92</v>
      </c>
      <c r="J187" s="3" t="n">
        <v>294.95</v>
      </c>
    </row>
    <row r="188">
      <c r="A188" s="2" t="n">
        <v>46302</v>
      </c>
      <c r="B188" t="inlineStr">
        <is>
          <t>Luis</t>
        </is>
      </c>
      <c r="C188" t="inlineStr">
        <is>
          <t>Bahía Servicios</t>
        </is>
      </c>
      <c r="D188" t="inlineStr">
        <is>
          <t>Sur</t>
        </is>
      </c>
      <c r="E188" t="inlineStr">
        <is>
          <t>Licencia anual</t>
        </is>
      </c>
      <c r="F188" t="inlineStr">
        <is>
          <t>Software</t>
        </is>
      </c>
      <c r="G188" t="n">
        <v>1</v>
      </c>
      <c r="H188" s="3" t="n">
        <v>483.76</v>
      </c>
      <c r="I188" s="3" t="n">
        <v>360.92</v>
      </c>
      <c r="J188" s="3" t="n">
        <v>483.76</v>
      </c>
    </row>
    <row r="189">
      <c r="A189" s="2" t="n">
        <v>46314</v>
      </c>
      <c r="B189" t="inlineStr">
        <is>
          <t>Luis</t>
        </is>
      </c>
      <c r="C189" t="inlineStr">
        <is>
          <t>Gama Comercial</t>
        </is>
      </c>
      <c r="D189" t="inlineStr">
        <is>
          <t>Centro</t>
        </is>
      </c>
      <c r="E189" t="inlineStr">
        <is>
          <t>Soporte mensual</t>
        </is>
      </c>
      <c r="F189" t="inlineStr">
        <is>
          <t>Servicios</t>
        </is>
      </c>
      <c r="G189" t="n">
        <v>1</v>
      </c>
      <c r="H189" s="3" t="n">
        <v>252.03</v>
      </c>
      <c r="I189" s="3" t="n">
        <v>154.68</v>
      </c>
      <c r="J189" s="3" t="n">
        <v>252.03</v>
      </c>
    </row>
    <row r="190">
      <c r="A190" s="2" t="n">
        <v>46307</v>
      </c>
      <c r="B190" t="inlineStr">
        <is>
          <t>Ana</t>
        </is>
      </c>
      <c r="C190" t="inlineStr">
        <is>
          <t>Mistura Import</t>
        </is>
      </c>
      <c r="D190" t="inlineStr">
        <is>
          <t>Centro</t>
        </is>
      </c>
      <c r="E190" t="inlineStr">
        <is>
          <t>Licencia anual</t>
        </is>
      </c>
      <c r="F190" t="inlineStr">
        <is>
          <t>Software</t>
        </is>
      </c>
      <c r="G190" t="n">
        <v>1</v>
      </c>
      <c r="H190" s="3" t="n">
        <v>476.22</v>
      </c>
      <c r="I190" s="3" t="n">
        <v>340.8</v>
      </c>
      <c r="J190" s="3" t="n">
        <v>476.22</v>
      </c>
    </row>
    <row r="191">
      <c r="A191" s="2" t="n">
        <v>46315</v>
      </c>
      <c r="B191" t="inlineStr">
        <is>
          <t>Jorge</t>
        </is>
      </c>
      <c r="C191" t="inlineStr">
        <is>
          <t>Río Tech</t>
        </is>
      </c>
      <c r="D191" t="inlineStr">
        <is>
          <t>Norte</t>
        </is>
      </c>
      <c r="E191" t="inlineStr">
        <is>
          <t>Licencia anual</t>
        </is>
      </c>
      <c r="F191" t="inlineStr">
        <is>
          <t>Software</t>
        </is>
      </c>
      <c r="G191" t="n">
        <v>1</v>
      </c>
      <c r="H191" s="3" t="n">
        <v>458.93</v>
      </c>
      <c r="I191" s="3" t="n">
        <v>313.24</v>
      </c>
      <c r="J191" s="3" t="n">
        <v>458.93</v>
      </c>
    </row>
    <row r="192">
      <c r="A192" s="2" t="n">
        <v>46321</v>
      </c>
      <c r="B192" t="inlineStr">
        <is>
          <t>Jorge</t>
        </is>
      </c>
      <c r="C192" t="inlineStr">
        <is>
          <t>Jade Logística</t>
        </is>
      </c>
      <c r="D192" t="inlineStr">
        <is>
          <t>Sur</t>
        </is>
      </c>
      <c r="E192" t="inlineStr">
        <is>
          <t>Soporte mensual</t>
        </is>
      </c>
      <c r="F192" t="inlineStr">
        <is>
          <t>Servicios</t>
        </is>
      </c>
      <c r="G192" t="n">
        <v>1</v>
      </c>
      <c r="H192" s="3" t="n">
        <v>258.94</v>
      </c>
      <c r="I192" s="3" t="n">
        <v>160.98</v>
      </c>
      <c r="J192" s="3" t="n">
        <v>258.94</v>
      </c>
    </row>
    <row r="193">
      <c r="A193" s="2" t="n">
        <v>46306</v>
      </c>
      <c r="B193" t="inlineStr">
        <is>
          <t>Carla</t>
        </is>
      </c>
      <c r="C193" t="inlineStr">
        <is>
          <t>Eco S.A.</t>
        </is>
      </c>
      <c r="D193" t="inlineStr">
        <is>
          <t>Centro</t>
        </is>
      </c>
      <c r="E193" t="inlineStr">
        <is>
          <t>Licencia anual</t>
        </is>
      </c>
      <c r="F193" t="inlineStr">
        <is>
          <t>Software</t>
        </is>
      </c>
      <c r="G193" t="n">
        <v>1</v>
      </c>
      <c r="H193" s="3" t="n">
        <v>415.71</v>
      </c>
      <c r="I193" s="3" t="n">
        <v>308.38</v>
      </c>
      <c r="J193" s="3" t="n">
        <v>415.71</v>
      </c>
    </row>
    <row r="194">
      <c r="A194" s="2" t="n">
        <v>46309</v>
      </c>
      <c r="B194" t="inlineStr">
        <is>
          <t>Luis</t>
        </is>
      </c>
      <c r="C194" t="inlineStr">
        <is>
          <t>Puna Ltda.</t>
        </is>
      </c>
      <c r="D194" t="inlineStr">
        <is>
          <t>Norte</t>
        </is>
      </c>
      <c r="E194" t="inlineStr">
        <is>
          <t>Soporte mensual</t>
        </is>
      </c>
      <c r="F194" t="inlineStr">
        <is>
          <t>Servicios</t>
        </is>
      </c>
      <c r="G194" t="n">
        <v>1</v>
      </c>
      <c r="H194" s="3" t="n">
        <v>235.25</v>
      </c>
      <c r="I194" s="3" t="n">
        <v>165.47</v>
      </c>
      <c r="J194" s="3" t="n">
        <v>235.25</v>
      </c>
    </row>
    <row r="195">
      <c r="A195" s="2" t="n">
        <v>46296</v>
      </c>
      <c r="B195" t="inlineStr">
        <is>
          <t>Carla</t>
        </is>
      </c>
      <c r="C195" t="inlineStr">
        <is>
          <t>Gama Group</t>
        </is>
      </c>
      <c r="D195" t="inlineStr">
        <is>
          <t>Centro</t>
        </is>
      </c>
      <c r="E195" t="inlineStr">
        <is>
          <t>Soporte mensual</t>
        </is>
      </c>
      <c r="F195" t="inlineStr">
        <is>
          <t>Servicios</t>
        </is>
      </c>
      <c r="G195" t="n">
        <v>1</v>
      </c>
      <c r="H195" s="3" t="n">
        <v>226.86</v>
      </c>
      <c r="I195" s="3" t="n">
        <v>149.91</v>
      </c>
      <c r="J195" s="3" t="n">
        <v>226.86</v>
      </c>
    </row>
    <row r="196">
      <c r="A196" s="2" t="n">
        <v>46315</v>
      </c>
      <c r="B196" t="inlineStr">
        <is>
          <t>Jorge</t>
        </is>
      </c>
      <c r="C196" t="inlineStr">
        <is>
          <t>Delta S.A.</t>
        </is>
      </c>
      <c r="D196" t="inlineStr">
        <is>
          <t>Norte</t>
        </is>
      </c>
      <c r="E196" t="inlineStr">
        <is>
          <t>Consultoría (hora)</t>
        </is>
      </c>
      <c r="F196" t="inlineStr">
        <is>
          <t>Servicios</t>
        </is>
      </c>
      <c r="G196" t="n">
        <v>1</v>
      </c>
      <c r="H196" s="3" t="n">
        <v>89.88</v>
      </c>
      <c r="I196" s="3" t="n">
        <v>54.52</v>
      </c>
      <c r="J196" s="3" t="n">
        <v>89.88</v>
      </c>
    </row>
    <row r="197">
      <c r="A197" s="2" t="n">
        <v>46316</v>
      </c>
      <c r="B197" t="inlineStr">
        <is>
          <t>Ana</t>
        </is>
      </c>
      <c r="C197" t="inlineStr">
        <is>
          <t>Cóndor Tech</t>
        </is>
      </c>
      <c r="D197" t="inlineStr">
        <is>
          <t>Centro</t>
        </is>
      </c>
      <c r="E197" t="inlineStr">
        <is>
          <t>Licencia anual</t>
        </is>
      </c>
      <c r="F197" t="inlineStr">
        <is>
          <t>Software</t>
        </is>
      </c>
      <c r="G197" t="n">
        <v>1</v>
      </c>
      <c r="H197" s="3" t="n">
        <v>408.91</v>
      </c>
      <c r="I197" s="3" t="n">
        <v>266.57</v>
      </c>
      <c r="J197" s="3" t="n">
        <v>408.91</v>
      </c>
    </row>
    <row r="198">
      <c r="A198" s="2" t="n">
        <v>46323</v>
      </c>
      <c r="B198" t="inlineStr">
        <is>
          <t>Jorge</t>
        </is>
      </c>
      <c r="C198" t="inlineStr">
        <is>
          <t>Ola Foods</t>
        </is>
      </c>
      <c r="D198" t="inlineStr">
        <is>
          <t>Centro</t>
        </is>
      </c>
      <c r="E198" t="inlineStr">
        <is>
          <t>Capacitación</t>
        </is>
      </c>
      <c r="F198" t="inlineStr">
        <is>
          <t>Formación</t>
        </is>
      </c>
      <c r="G198" t="n">
        <v>1</v>
      </c>
      <c r="H198" s="3" t="n">
        <v>305.76</v>
      </c>
      <c r="I198" s="3" t="n">
        <v>220.19</v>
      </c>
      <c r="J198" s="3" t="n">
        <v>305.76</v>
      </c>
    </row>
    <row r="199">
      <c r="A199" s="2" t="n">
        <v>46314</v>
      </c>
      <c r="B199" t="inlineStr">
        <is>
          <t>Ana</t>
        </is>
      </c>
      <c r="C199" t="inlineStr">
        <is>
          <t>Gama Tech</t>
        </is>
      </c>
      <c r="D199" t="inlineStr">
        <is>
          <t>Centro</t>
        </is>
      </c>
      <c r="E199" t="inlineStr">
        <is>
          <t>Capacitación</t>
        </is>
      </c>
      <c r="F199" t="inlineStr">
        <is>
          <t>Formación</t>
        </is>
      </c>
      <c r="G199" t="n">
        <v>1</v>
      </c>
      <c r="H199" s="3" t="n">
        <v>296.62</v>
      </c>
      <c r="I199" s="3" t="n">
        <v>199.78</v>
      </c>
      <c r="J199" s="3" t="n">
        <v>296.62</v>
      </c>
    </row>
    <row r="200">
      <c r="A200" s="2" t="n">
        <v>46320</v>
      </c>
      <c r="B200" t="inlineStr">
        <is>
          <t>Jorge</t>
        </is>
      </c>
      <c r="C200" t="inlineStr">
        <is>
          <t>Puna Foods</t>
        </is>
      </c>
      <c r="D200" t="inlineStr">
        <is>
          <t>Centro</t>
        </is>
      </c>
      <c r="E200" t="inlineStr">
        <is>
          <t>Soporte mensual</t>
        </is>
      </c>
      <c r="F200" t="inlineStr">
        <is>
          <t>Servicios</t>
        </is>
      </c>
      <c r="G200" t="n">
        <v>1</v>
      </c>
      <c r="H200" s="3" t="n">
        <v>266.76</v>
      </c>
      <c r="I200" s="3" t="n">
        <v>174.55</v>
      </c>
      <c r="J200" s="3" t="n">
        <v>266.76</v>
      </c>
    </row>
    <row r="201">
      <c r="A201" s="2" t="n">
        <v>46309</v>
      </c>
      <c r="B201" t="inlineStr">
        <is>
          <t>Carla</t>
        </is>
      </c>
      <c r="C201" t="inlineStr">
        <is>
          <t>Kora Logística</t>
        </is>
      </c>
      <c r="D201" t="inlineStr">
        <is>
          <t>Centro</t>
        </is>
      </c>
      <c r="E201" t="inlineStr">
        <is>
          <t>Capacitación</t>
        </is>
      </c>
      <c r="F201" t="inlineStr">
        <is>
          <t>Formación</t>
        </is>
      </c>
      <c r="G201" t="n">
        <v>1</v>
      </c>
      <c r="H201" s="3" t="n">
        <v>346.27</v>
      </c>
      <c r="I201" s="3" t="n">
        <v>248.98</v>
      </c>
      <c r="J201" s="3" t="n">
        <v>346.27</v>
      </c>
    </row>
    <row r="202">
      <c r="A202" s="2" t="n">
        <v>46322</v>
      </c>
      <c r="B202" t="inlineStr">
        <is>
          <t>Jorge</t>
        </is>
      </c>
      <c r="C202" t="inlineStr">
        <is>
          <t>Fénix Foods</t>
        </is>
      </c>
      <c r="D202" t="inlineStr">
        <is>
          <t>Norte</t>
        </is>
      </c>
      <c r="E202" t="inlineStr">
        <is>
          <t>Soporte mensual</t>
        </is>
      </c>
      <c r="F202" t="inlineStr">
        <is>
          <t>Servicios</t>
        </is>
      </c>
      <c r="G202" t="n">
        <v>1</v>
      </c>
      <c r="H202" s="3" t="n">
        <v>236.08</v>
      </c>
      <c r="I202" s="3" t="n">
        <v>158.38</v>
      </c>
      <c r="J202" s="3" t="n">
        <v>236.08</v>
      </c>
    </row>
    <row r="203">
      <c r="A203" s="2" t="n">
        <v>46300</v>
      </c>
      <c r="B203" t="inlineStr">
        <is>
          <t>Ana</t>
        </is>
      </c>
      <c r="C203" t="inlineStr">
        <is>
          <t>Andes Logística</t>
        </is>
      </c>
      <c r="D203" t="inlineStr">
        <is>
          <t>Norte</t>
        </is>
      </c>
      <c r="E203" t="inlineStr">
        <is>
          <t>Consultoría (hora)</t>
        </is>
      </c>
      <c r="F203" t="inlineStr">
        <is>
          <t>Servicios</t>
        </is>
      </c>
      <c r="G203" t="n">
        <v>1</v>
      </c>
      <c r="H203" s="3" t="n">
        <v>97.43000000000001</v>
      </c>
      <c r="I203" s="3" t="n">
        <v>71.33</v>
      </c>
      <c r="J203" s="3" t="n">
        <v>97.43000000000001</v>
      </c>
    </row>
    <row r="204">
      <c r="A204" s="2" t="n">
        <v>46300</v>
      </c>
      <c r="B204" t="inlineStr">
        <is>
          <t>Jorge</t>
        </is>
      </c>
      <c r="C204" t="inlineStr">
        <is>
          <t>Delta Foods</t>
        </is>
      </c>
      <c r="D204" t="inlineStr">
        <is>
          <t>Norte</t>
        </is>
      </c>
      <c r="E204" t="inlineStr">
        <is>
          <t>Capacitación</t>
        </is>
      </c>
      <c r="F204" t="inlineStr">
        <is>
          <t>Formación</t>
        </is>
      </c>
      <c r="G204" t="n">
        <v>1</v>
      </c>
      <c r="H204" s="3" t="n">
        <v>292.26</v>
      </c>
      <c r="I204" s="3" t="n">
        <v>183.62</v>
      </c>
      <c r="J204" s="3" t="n">
        <v>292.26</v>
      </c>
    </row>
    <row r="205">
      <c r="A205" s="2" t="n">
        <v>46318</v>
      </c>
      <c r="B205" t="inlineStr">
        <is>
          <t>Ana</t>
        </is>
      </c>
      <c r="C205" t="inlineStr">
        <is>
          <t>Mistura Ltda.</t>
        </is>
      </c>
      <c r="D205" t="inlineStr">
        <is>
          <t>Norte</t>
        </is>
      </c>
      <c r="E205" t="inlineStr">
        <is>
          <t>Soporte mensual</t>
        </is>
      </c>
      <c r="F205" t="inlineStr">
        <is>
          <t>Servicios</t>
        </is>
      </c>
      <c r="G205" t="n">
        <v>1</v>
      </c>
      <c r="H205" s="3" t="n">
        <v>240.59</v>
      </c>
      <c r="I205" s="3" t="n">
        <v>178.03</v>
      </c>
      <c r="J205" s="3" t="n">
        <v>240.59</v>
      </c>
    </row>
    <row r="206">
      <c r="A206" s="2" t="n">
        <v>46300</v>
      </c>
      <c r="B206" t="inlineStr">
        <is>
          <t>Luis</t>
        </is>
      </c>
      <c r="C206" t="inlineStr">
        <is>
          <t>Jade Comercial</t>
        </is>
      </c>
      <c r="D206" t="inlineStr">
        <is>
          <t>Norte</t>
        </is>
      </c>
      <c r="E206" t="inlineStr">
        <is>
          <t>Consultoría (hora)</t>
        </is>
      </c>
      <c r="F206" t="inlineStr">
        <is>
          <t>Servicios</t>
        </is>
      </c>
      <c r="G206" t="n">
        <v>1</v>
      </c>
      <c r="H206" s="3" t="n">
        <v>93.81</v>
      </c>
      <c r="I206" s="3" t="n">
        <v>64.06</v>
      </c>
      <c r="J206" s="3" t="n">
        <v>93.81</v>
      </c>
    </row>
    <row r="207">
      <c r="A207" s="2" t="n">
        <v>46318</v>
      </c>
      <c r="B207" t="inlineStr">
        <is>
          <t>Jorge</t>
        </is>
      </c>
      <c r="C207" t="inlineStr">
        <is>
          <t>Quipu Ltda.</t>
        </is>
      </c>
      <c r="D207" t="inlineStr">
        <is>
          <t>Centro</t>
        </is>
      </c>
      <c r="E207" t="inlineStr">
        <is>
          <t>Consultoría (hora)</t>
        </is>
      </c>
      <c r="F207" t="inlineStr">
        <is>
          <t>Servicios</t>
        </is>
      </c>
      <c r="G207" t="n">
        <v>1</v>
      </c>
      <c r="H207" s="3" t="n">
        <v>103.8</v>
      </c>
      <c r="I207" s="3" t="n">
        <v>65.43000000000001</v>
      </c>
      <c r="J207" s="3" t="n">
        <v>103.8</v>
      </c>
    </row>
    <row r="208">
      <c r="A208" s="2" t="n">
        <v>46313</v>
      </c>
      <c r="B208" t="inlineStr">
        <is>
          <t>Luis</t>
        </is>
      </c>
      <c r="C208" t="inlineStr">
        <is>
          <t>Cóndor Logística</t>
        </is>
      </c>
      <c r="D208" t="inlineStr">
        <is>
          <t>Sur</t>
        </is>
      </c>
      <c r="E208" t="inlineStr">
        <is>
          <t>Capacitación</t>
        </is>
      </c>
      <c r="F208" t="inlineStr">
        <is>
          <t>Formación</t>
        </is>
      </c>
      <c r="G208" t="n">
        <v>1</v>
      </c>
      <c r="H208" s="3" t="n">
        <v>331.82</v>
      </c>
      <c r="I208" s="3" t="n">
        <v>208.37</v>
      </c>
      <c r="J208" s="3" t="n">
        <v>331.82</v>
      </c>
    </row>
    <row r="209">
      <c r="A209" s="2" t="n">
        <v>46310</v>
      </c>
      <c r="B209" t="inlineStr">
        <is>
          <t>Carla</t>
        </is>
      </c>
      <c r="C209" t="inlineStr">
        <is>
          <t>Fénix Logística</t>
        </is>
      </c>
      <c r="D209" t="inlineStr">
        <is>
          <t>Norte</t>
        </is>
      </c>
      <c r="E209" t="inlineStr">
        <is>
          <t>Consultoría (hora)</t>
        </is>
      </c>
      <c r="F209" t="inlineStr">
        <is>
          <t>Servicios</t>
        </is>
      </c>
      <c r="G209" t="n">
        <v>1</v>
      </c>
      <c r="H209" s="3" t="n">
        <v>91.34</v>
      </c>
      <c r="I209" s="3" t="n">
        <v>67.13</v>
      </c>
      <c r="J209" s="3" t="n">
        <v>91.34</v>
      </c>
    </row>
    <row r="210">
      <c r="A210" s="2" t="n">
        <v>46323</v>
      </c>
      <c r="B210" t="inlineStr">
        <is>
          <t>Luis</t>
        </is>
      </c>
      <c r="C210" t="inlineStr">
        <is>
          <t>Jade S.A.C.</t>
        </is>
      </c>
      <c r="D210" t="inlineStr">
        <is>
          <t>Centro</t>
        </is>
      </c>
      <c r="E210" t="inlineStr">
        <is>
          <t>Licencia anual</t>
        </is>
      </c>
      <c r="F210" t="inlineStr">
        <is>
          <t>Software</t>
        </is>
      </c>
      <c r="G210" t="n">
        <v>1</v>
      </c>
      <c r="H210" s="3" t="n">
        <v>416.4</v>
      </c>
      <c r="I210" s="3" t="n">
        <v>259.1</v>
      </c>
      <c r="J210" s="3" t="n">
        <v>416.4</v>
      </c>
    </row>
    <row r="211">
      <c r="A211" s="2" t="n">
        <v>46296</v>
      </c>
      <c r="B211" t="inlineStr">
        <is>
          <t>Ana</t>
        </is>
      </c>
      <c r="C211" t="inlineStr">
        <is>
          <t>Ícaro Ltda.</t>
        </is>
      </c>
      <c r="D211" t="inlineStr">
        <is>
          <t>Centro</t>
        </is>
      </c>
      <c r="E211" t="inlineStr">
        <is>
          <t>Capacitación</t>
        </is>
      </c>
      <c r="F211" t="inlineStr">
        <is>
          <t>Formación</t>
        </is>
      </c>
      <c r="G211" t="n">
        <v>1</v>
      </c>
      <c r="H211" s="3" t="n">
        <v>300.63</v>
      </c>
      <c r="I211" s="3" t="n">
        <v>208.4</v>
      </c>
      <c r="J211" s="3" t="n">
        <v>300.63</v>
      </c>
    </row>
    <row r="212">
      <c r="A212" s="2" t="n">
        <v>46301</v>
      </c>
      <c r="B212" t="inlineStr">
        <is>
          <t>Carla</t>
        </is>
      </c>
      <c r="C212" t="inlineStr">
        <is>
          <t>Cóndor Servicios</t>
        </is>
      </c>
      <c r="D212" t="inlineStr">
        <is>
          <t>Centro</t>
        </is>
      </c>
      <c r="E212" t="inlineStr">
        <is>
          <t>Soporte mensual</t>
        </is>
      </c>
      <c r="F212" t="inlineStr">
        <is>
          <t>Servicios</t>
        </is>
      </c>
      <c r="G212" t="n">
        <v>1</v>
      </c>
      <c r="H212" s="3" t="n">
        <v>247.98</v>
      </c>
      <c r="I212" s="3" t="n">
        <v>185.95</v>
      </c>
      <c r="J212" s="3" t="n">
        <v>247.98</v>
      </c>
    </row>
    <row r="213">
      <c r="A213" s="2" t="n">
        <v>46321</v>
      </c>
      <c r="B213" t="inlineStr">
        <is>
          <t>Ana</t>
        </is>
      </c>
      <c r="C213" t="inlineStr">
        <is>
          <t>Nexo Comercial</t>
        </is>
      </c>
      <c r="D213" t="inlineStr">
        <is>
          <t>Norte</t>
        </is>
      </c>
      <c r="E213" t="inlineStr">
        <is>
          <t>Licencia anual</t>
        </is>
      </c>
      <c r="F213" t="inlineStr">
        <is>
          <t>Software</t>
        </is>
      </c>
      <c r="G213" t="n">
        <v>1</v>
      </c>
      <c r="H213" s="3" t="n">
        <v>471.94</v>
      </c>
      <c r="I213" s="3" t="n">
        <v>325.56</v>
      </c>
      <c r="J213" s="3" t="n">
        <v>471.94</v>
      </c>
    </row>
    <row r="214">
      <c r="A214" s="2" t="n">
        <v>46312</v>
      </c>
      <c r="B214" t="inlineStr">
        <is>
          <t>Jorge</t>
        </is>
      </c>
      <c r="C214" t="inlineStr">
        <is>
          <t>Bahía Import</t>
        </is>
      </c>
      <c r="D214" t="inlineStr">
        <is>
          <t>Norte</t>
        </is>
      </c>
      <c r="E214" t="inlineStr">
        <is>
          <t>Consultoría (hora)</t>
        </is>
      </c>
      <c r="F214" t="inlineStr">
        <is>
          <t>Servicios</t>
        </is>
      </c>
      <c r="G214" t="n">
        <v>1</v>
      </c>
      <c r="H214" s="3" t="n">
        <v>95.81</v>
      </c>
      <c r="I214" s="3" t="n">
        <v>59.47</v>
      </c>
      <c r="J214" s="3" t="n">
        <v>95.81</v>
      </c>
    </row>
    <row r="215">
      <c r="A215" s="2" t="n">
        <v>46306</v>
      </c>
      <c r="B215" t="inlineStr">
        <is>
          <t>Carla</t>
        </is>
      </c>
      <c r="C215" t="inlineStr">
        <is>
          <t>Sol S.A.C.</t>
        </is>
      </c>
      <c r="D215" t="inlineStr">
        <is>
          <t>Norte</t>
        </is>
      </c>
      <c r="E215" t="inlineStr">
        <is>
          <t>Licencia anual</t>
        </is>
      </c>
      <c r="F215" t="inlineStr">
        <is>
          <t>Software</t>
        </is>
      </c>
      <c r="G215" t="n">
        <v>1</v>
      </c>
      <c r="H215" s="3" t="n">
        <v>442.28</v>
      </c>
      <c r="I215" s="3" t="n">
        <v>303.59</v>
      </c>
      <c r="J215" s="3" t="n">
        <v>442.28</v>
      </c>
    </row>
    <row r="216">
      <c r="A216" s="2" t="n">
        <v>46307</v>
      </c>
      <c r="B216" t="inlineStr">
        <is>
          <t>Ana</t>
        </is>
      </c>
      <c r="C216" t="inlineStr">
        <is>
          <t>Lago Comercial</t>
        </is>
      </c>
      <c r="D216" t="inlineStr">
        <is>
          <t>Norte</t>
        </is>
      </c>
      <c r="E216" t="inlineStr">
        <is>
          <t>Consultoría (hora)</t>
        </is>
      </c>
      <c r="F216" t="inlineStr">
        <is>
          <t>Servicios</t>
        </is>
      </c>
      <c r="G216" t="n">
        <v>1</v>
      </c>
      <c r="H216" s="3" t="n">
        <v>97.94</v>
      </c>
      <c r="I216" s="3" t="n">
        <v>69.73</v>
      </c>
      <c r="J216" s="3" t="n">
        <v>97.94</v>
      </c>
    </row>
    <row r="217">
      <c r="A217" s="2" t="n">
        <v>46296</v>
      </c>
      <c r="B217" t="inlineStr">
        <is>
          <t>Carla</t>
        </is>
      </c>
      <c r="C217" t="inlineStr">
        <is>
          <t>Lago Comercial</t>
        </is>
      </c>
      <c r="D217" t="inlineStr">
        <is>
          <t>Norte</t>
        </is>
      </c>
      <c r="E217" t="inlineStr">
        <is>
          <t>Capacitación</t>
        </is>
      </c>
      <c r="F217" t="inlineStr">
        <is>
          <t>Formación</t>
        </is>
      </c>
      <c r="G217" t="n">
        <v>1</v>
      </c>
      <c r="H217" s="3" t="n">
        <v>324.8</v>
      </c>
      <c r="I217" s="3" t="n">
        <v>208.56</v>
      </c>
      <c r="J217" s="3" t="n">
        <v>324.8</v>
      </c>
    </row>
    <row r="218">
      <c r="A218" s="2" t="n">
        <v>46307</v>
      </c>
      <c r="B218" t="inlineStr">
        <is>
          <t>Luis</t>
        </is>
      </c>
      <c r="C218" t="inlineStr">
        <is>
          <t>Quipu Tech</t>
        </is>
      </c>
      <c r="D218" t="inlineStr">
        <is>
          <t>Centro</t>
        </is>
      </c>
      <c r="E218" t="inlineStr">
        <is>
          <t>Capacitación</t>
        </is>
      </c>
      <c r="F218" t="inlineStr">
        <is>
          <t>Formación</t>
        </is>
      </c>
      <c r="G218" t="n">
        <v>1</v>
      </c>
      <c r="H218" s="3" t="n">
        <v>314.71</v>
      </c>
      <c r="I218" s="3" t="n">
        <v>214.44</v>
      </c>
      <c r="J218" s="3" t="n">
        <v>314.71</v>
      </c>
    </row>
    <row r="219">
      <c r="A219" s="2" t="n">
        <v>46309</v>
      </c>
      <c r="B219" t="inlineStr">
        <is>
          <t>Luis</t>
        </is>
      </c>
      <c r="C219" t="inlineStr">
        <is>
          <t>Tika S.A.</t>
        </is>
      </c>
      <c r="D219" t="inlineStr">
        <is>
          <t>Sur</t>
        </is>
      </c>
      <c r="E219" t="inlineStr">
        <is>
          <t>Consultoría (hora)</t>
        </is>
      </c>
      <c r="F219" t="inlineStr">
        <is>
          <t>Servicios</t>
        </is>
      </c>
      <c r="G219" t="n">
        <v>1</v>
      </c>
      <c r="H219" s="3" t="n">
        <v>100.41</v>
      </c>
      <c r="I219" s="3" t="n">
        <v>67.89</v>
      </c>
      <c r="J219" s="3" t="n">
        <v>100.41</v>
      </c>
    </row>
    <row r="220">
      <c r="A220" s="2" t="n">
        <v>46309</v>
      </c>
      <c r="B220" t="inlineStr">
        <is>
          <t>Ana</t>
        </is>
      </c>
      <c r="C220" t="inlineStr">
        <is>
          <t>Bahía Foods</t>
        </is>
      </c>
      <c r="D220" t="inlineStr">
        <is>
          <t>Sur</t>
        </is>
      </c>
      <c r="E220" t="inlineStr">
        <is>
          <t>Consultoría (hora)</t>
        </is>
      </c>
      <c r="F220" t="inlineStr">
        <is>
          <t>Servicios</t>
        </is>
      </c>
      <c r="G220" t="n">
        <v>1</v>
      </c>
      <c r="H220" s="3" t="n">
        <v>99.12</v>
      </c>
      <c r="I220" s="3" t="n">
        <v>63.59</v>
      </c>
      <c r="J220" s="3" t="n">
        <v>99.12</v>
      </c>
    </row>
    <row r="221">
      <c r="A221" s="2" t="n">
        <v>46322</v>
      </c>
      <c r="B221" t="inlineStr">
        <is>
          <t>Jorge</t>
        </is>
      </c>
      <c r="C221" t="inlineStr">
        <is>
          <t>Bahía Logística</t>
        </is>
      </c>
      <c r="D221" t="inlineStr">
        <is>
          <t>Sur</t>
        </is>
      </c>
      <c r="E221" t="inlineStr">
        <is>
          <t>Capacitación</t>
        </is>
      </c>
      <c r="F221" t="inlineStr">
        <is>
          <t>Formación</t>
        </is>
      </c>
      <c r="G221" t="n">
        <v>1</v>
      </c>
      <c r="H221" s="3" t="n">
        <v>340.34</v>
      </c>
      <c r="I221" s="3" t="n">
        <v>248.4</v>
      </c>
      <c r="J221" s="3" t="n">
        <v>340.34</v>
      </c>
    </row>
    <row r="222">
      <c r="A222" s="2" t="n">
        <v>46353</v>
      </c>
      <c r="B222" t="inlineStr">
        <is>
          <t>Jorge</t>
        </is>
      </c>
      <c r="C222" t="inlineStr">
        <is>
          <t>Río Import</t>
        </is>
      </c>
      <c r="D222" t="inlineStr">
        <is>
          <t>Centro</t>
        </is>
      </c>
      <c r="E222" t="inlineStr">
        <is>
          <t>Licencia anual</t>
        </is>
      </c>
      <c r="F222" t="inlineStr">
        <is>
          <t>Software</t>
        </is>
      </c>
      <c r="G222" t="n">
        <v>1</v>
      </c>
      <c r="H222" s="3" t="n">
        <v>428.05</v>
      </c>
      <c r="I222" s="3" t="n">
        <v>263.46</v>
      </c>
      <c r="J222" s="3" t="n">
        <v>428.05</v>
      </c>
    </row>
    <row r="223">
      <c r="A223" s="2" t="n">
        <v>46349</v>
      </c>
      <c r="B223" t="inlineStr">
        <is>
          <t>Luis</t>
        </is>
      </c>
      <c r="C223" t="inlineStr">
        <is>
          <t>Bahía Retail</t>
        </is>
      </c>
      <c r="D223" t="inlineStr">
        <is>
          <t>Norte</t>
        </is>
      </c>
      <c r="E223" t="inlineStr">
        <is>
          <t>Consultoría (hora)</t>
        </is>
      </c>
      <c r="F223" t="inlineStr">
        <is>
          <t>Servicios</t>
        </is>
      </c>
      <c r="G223" t="n">
        <v>1</v>
      </c>
      <c r="H223" s="3" t="n">
        <v>102.62</v>
      </c>
      <c r="I223" s="3" t="n">
        <v>67.03</v>
      </c>
      <c r="J223" s="3" t="n">
        <v>102.62</v>
      </c>
    </row>
    <row r="224">
      <c r="A224" s="2" t="n">
        <v>46337</v>
      </c>
      <c r="B224" t="inlineStr">
        <is>
          <t>Ana</t>
        </is>
      </c>
      <c r="C224" t="inlineStr">
        <is>
          <t>Andes S.A.</t>
        </is>
      </c>
      <c r="D224" t="inlineStr">
        <is>
          <t>Sur</t>
        </is>
      </c>
      <c r="E224" t="inlineStr">
        <is>
          <t>Soporte mensual</t>
        </is>
      </c>
      <c r="F224" t="inlineStr">
        <is>
          <t>Servicios</t>
        </is>
      </c>
      <c r="G224" t="n">
        <v>1</v>
      </c>
      <c r="H224" s="3" t="n">
        <v>254.46</v>
      </c>
      <c r="I224" s="3" t="n">
        <v>184.38</v>
      </c>
      <c r="J224" s="3" t="n">
        <v>254.46</v>
      </c>
    </row>
    <row r="225">
      <c r="A225" s="2" t="n">
        <v>46344</v>
      </c>
      <c r="B225" t="inlineStr">
        <is>
          <t>Ana</t>
        </is>
      </c>
      <c r="C225" t="inlineStr">
        <is>
          <t>Jade Servicios</t>
        </is>
      </c>
      <c r="D225" t="inlineStr">
        <is>
          <t>Norte</t>
        </is>
      </c>
      <c r="E225" t="inlineStr">
        <is>
          <t>Licencia anual</t>
        </is>
      </c>
      <c r="F225" t="inlineStr">
        <is>
          <t>Software</t>
        </is>
      </c>
      <c r="G225" t="n">
        <v>1</v>
      </c>
      <c r="H225" s="3" t="n">
        <v>482.46</v>
      </c>
      <c r="I225" s="3" t="n">
        <v>320.59</v>
      </c>
      <c r="J225" s="3" t="n">
        <v>482.46</v>
      </c>
    </row>
    <row r="226">
      <c r="A226" s="2" t="n">
        <v>46345</v>
      </c>
      <c r="B226" t="inlineStr">
        <is>
          <t>Jorge</t>
        </is>
      </c>
      <c r="C226" t="inlineStr">
        <is>
          <t>Lago Tech</t>
        </is>
      </c>
      <c r="D226" t="inlineStr">
        <is>
          <t>Norte</t>
        </is>
      </c>
      <c r="E226" t="inlineStr">
        <is>
          <t>Capacitación</t>
        </is>
      </c>
      <c r="F226" t="inlineStr">
        <is>
          <t>Formación</t>
        </is>
      </c>
      <c r="G226" t="n">
        <v>1</v>
      </c>
      <c r="H226" s="3" t="n">
        <v>318.04</v>
      </c>
      <c r="I226" s="3" t="n">
        <v>232.23</v>
      </c>
      <c r="J226" s="3" t="n">
        <v>318.04</v>
      </c>
    </row>
    <row r="227">
      <c r="A227" s="2" t="n">
        <v>46341</v>
      </c>
      <c r="B227" t="inlineStr">
        <is>
          <t>Carla</t>
        </is>
      </c>
      <c r="C227" t="inlineStr">
        <is>
          <t>Nexo Logística</t>
        </is>
      </c>
      <c r="D227" t="inlineStr">
        <is>
          <t>Norte</t>
        </is>
      </c>
      <c r="E227" t="inlineStr">
        <is>
          <t>Capacitación</t>
        </is>
      </c>
      <c r="F227" t="inlineStr">
        <is>
          <t>Formación</t>
        </is>
      </c>
      <c r="G227" t="n">
        <v>1</v>
      </c>
      <c r="H227" s="3" t="n">
        <v>347.26</v>
      </c>
      <c r="I227" s="3" t="n">
        <v>246.32</v>
      </c>
      <c r="J227" s="3" t="n">
        <v>347.26</v>
      </c>
    </row>
    <row r="228">
      <c r="A228" s="2" t="n">
        <v>46348</v>
      </c>
      <c r="B228" t="inlineStr">
        <is>
          <t>Ana</t>
        </is>
      </c>
      <c r="C228" t="inlineStr">
        <is>
          <t>Bahía Servicios</t>
        </is>
      </c>
      <c r="D228" t="inlineStr">
        <is>
          <t>Sur</t>
        </is>
      </c>
      <c r="E228" t="inlineStr">
        <is>
          <t>Licencia anual</t>
        </is>
      </c>
      <c r="F228" t="inlineStr">
        <is>
          <t>Software</t>
        </is>
      </c>
      <c r="G228" t="n">
        <v>1</v>
      </c>
      <c r="H228" s="3" t="n">
        <v>470.73</v>
      </c>
      <c r="I228" s="3" t="n">
        <v>301.11</v>
      </c>
      <c r="J228" s="3" t="n">
        <v>470.73</v>
      </c>
    </row>
    <row r="229">
      <c r="A229" s="2" t="n">
        <v>46349</v>
      </c>
      <c r="B229" t="inlineStr">
        <is>
          <t>Luis</t>
        </is>
      </c>
      <c r="C229" t="inlineStr">
        <is>
          <t>Delta S.A.</t>
        </is>
      </c>
      <c r="D229" t="inlineStr">
        <is>
          <t>Norte</t>
        </is>
      </c>
      <c r="E229" t="inlineStr">
        <is>
          <t>Licencia anual</t>
        </is>
      </c>
      <c r="F229" t="inlineStr">
        <is>
          <t>Software</t>
        </is>
      </c>
      <c r="G229" t="n">
        <v>1</v>
      </c>
      <c r="H229" s="3" t="n">
        <v>440.05</v>
      </c>
      <c r="I229" s="3" t="n">
        <v>305.34</v>
      </c>
      <c r="J229" s="3" t="n">
        <v>440.05</v>
      </c>
    </row>
    <row r="230">
      <c r="A230" s="2" t="n">
        <v>46348</v>
      </c>
      <c r="B230" t="inlineStr">
        <is>
          <t>Luis</t>
        </is>
      </c>
      <c r="C230" t="inlineStr">
        <is>
          <t>Ola Retail</t>
        </is>
      </c>
      <c r="D230" t="inlineStr">
        <is>
          <t>Norte</t>
        </is>
      </c>
      <c r="E230" t="inlineStr">
        <is>
          <t>Soporte mensual</t>
        </is>
      </c>
      <c r="F230" t="inlineStr">
        <is>
          <t>Servicios</t>
        </is>
      </c>
      <c r="G230" t="n">
        <v>1</v>
      </c>
      <c r="H230" s="3" t="n">
        <v>237.96</v>
      </c>
      <c r="I230" s="3" t="n">
        <v>148.66</v>
      </c>
      <c r="J230" s="3" t="n">
        <v>237.96</v>
      </c>
    </row>
    <row r="231">
      <c r="A231" s="2" t="n">
        <v>46346</v>
      </c>
      <c r="B231" t="inlineStr">
        <is>
          <t>Luis</t>
        </is>
      </c>
      <c r="C231" t="inlineStr">
        <is>
          <t>Sol Logística</t>
        </is>
      </c>
      <c r="D231" t="inlineStr">
        <is>
          <t>Norte</t>
        </is>
      </c>
      <c r="E231" t="inlineStr">
        <is>
          <t>Soporte mensual</t>
        </is>
      </c>
      <c r="F231" t="inlineStr">
        <is>
          <t>Servicios</t>
        </is>
      </c>
      <c r="G231" t="n">
        <v>1</v>
      </c>
      <c r="H231" s="3" t="n">
        <v>226.96</v>
      </c>
      <c r="I231" s="3" t="n">
        <v>152.63</v>
      </c>
      <c r="J231" s="3" t="n">
        <v>226.96</v>
      </c>
    </row>
    <row r="232">
      <c r="A232" s="2" t="n">
        <v>46327</v>
      </c>
      <c r="B232" t="inlineStr">
        <is>
          <t>Carla</t>
        </is>
      </c>
      <c r="C232" t="inlineStr">
        <is>
          <t>Fénix S.A.C.</t>
        </is>
      </c>
      <c r="D232" t="inlineStr">
        <is>
          <t>Norte</t>
        </is>
      </c>
      <c r="E232" t="inlineStr">
        <is>
          <t>Consultoría (hora)</t>
        </is>
      </c>
      <c r="F232" t="inlineStr">
        <is>
          <t>Servicios</t>
        </is>
      </c>
      <c r="G232" t="n">
        <v>1</v>
      </c>
      <c r="H232" s="3" t="n">
        <v>98.48999999999999</v>
      </c>
      <c r="I232" s="3" t="n">
        <v>70.43000000000001</v>
      </c>
      <c r="J232" s="3" t="n">
        <v>98.48999999999999</v>
      </c>
    </row>
    <row r="233">
      <c r="A233" s="2" t="n">
        <v>46333</v>
      </c>
      <c r="B233" t="inlineStr">
        <is>
          <t>Ana</t>
        </is>
      </c>
      <c r="C233" t="inlineStr">
        <is>
          <t>Andes Logística</t>
        </is>
      </c>
      <c r="D233" t="inlineStr">
        <is>
          <t>Norte</t>
        </is>
      </c>
      <c r="E233" t="inlineStr">
        <is>
          <t>Soporte mensual</t>
        </is>
      </c>
      <c r="F233" t="inlineStr">
        <is>
          <t>Servicios</t>
        </is>
      </c>
      <c r="G233" t="n">
        <v>1</v>
      </c>
      <c r="H233" s="3" t="n">
        <v>266.02</v>
      </c>
      <c r="I233" s="3" t="n">
        <v>174.01</v>
      </c>
      <c r="J233" s="3" t="n">
        <v>266.02</v>
      </c>
    </row>
    <row r="234">
      <c r="A234" s="2" t="n">
        <v>46338</v>
      </c>
      <c r="B234" t="inlineStr">
        <is>
          <t>Jorge</t>
        </is>
      </c>
      <c r="C234" t="inlineStr">
        <is>
          <t>Nexo S.A.</t>
        </is>
      </c>
      <c r="D234" t="inlineStr">
        <is>
          <t>Norte</t>
        </is>
      </c>
      <c r="E234" t="inlineStr">
        <is>
          <t>Consultoría (hora)</t>
        </is>
      </c>
      <c r="F234" t="inlineStr">
        <is>
          <t>Servicios</t>
        </is>
      </c>
      <c r="G234" t="n">
        <v>1</v>
      </c>
      <c r="H234" s="3" t="n">
        <v>86.36</v>
      </c>
      <c r="I234" s="3" t="n">
        <v>62.22</v>
      </c>
      <c r="J234" s="3" t="n">
        <v>86.36</v>
      </c>
    </row>
    <row r="235">
      <c r="A235" s="2" t="n">
        <v>46340</v>
      </c>
      <c r="B235" t="inlineStr">
        <is>
          <t>Carla</t>
        </is>
      </c>
      <c r="C235" t="inlineStr">
        <is>
          <t>Mistura S.A.C.</t>
        </is>
      </c>
      <c r="D235" t="inlineStr">
        <is>
          <t>Sur</t>
        </is>
      </c>
      <c r="E235" t="inlineStr">
        <is>
          <t>Licencia anual</t>
        </is>
      </c>
      <c r="F235" t="inlineStr">
        <is>
          <t>Software</t>
        </is>
      </c>
      <c r="G235" t="n">
        <v>1</v>
      </c>
      <c r="H235" s="3" t="n">
        <v>406.78</v>
      </c>
      <c r="I235" s="3" t="n">
        <v>272.09</v>
      </c>
      <c r="J235" s="3" t="n">
        <v>406.78</v>
      </c>
    </row>
    <row r="236">
      <c r="A236" s="2" t="n">
        <v>46352</v>
      </c>
      <c r="B236" t="inlineStr">
        <is>
          <t>Carla</t>
        </is>
      </c>
      <c r="C236" t="inlineStr">
        <is>
          <t>Puna Comercial</t>
        </is>
      </c>
      <c r="D236" t="inlineStr">
        <is>
          <t>Norte</t>
        </is>
      </c>
      <c r="E236" t="inlineStr">
        <is>
          <t>Capacitación</t>
        </is>
      </c>
      <c r="F236" t="inlineStr">
        <is>
          <t>Formación</t>
        </is>
      </c>
      <c r="G236" t="n">
        <v>1</v>
      </c>
      <c r="H236" s="3" t="n">
        <v>350.74</v>
      </c>
      <c r="I236" s="3" t="n">
        <v>238.08</v>
      </c>
      <c r="J236" s="3" t="n">
        <v>350.74</v>
      </c>
    </row>
    <row r="237">
      <c r="A237" s="2" t="n">
        <v>46348</v>
      </c>
      <c r="B237" t="inlineStr">
        <is>
          <t>Luis</t>
        </is>
      </c>
      <c r="C237" t="inlineStr">
        <is>
          <t>Jade S.A.C.</t>
        </is>
      </c>
      <c r="D237" t="inlineStr">
        <is>
          <t>Centro</t>
        </is>
      </c>
      <c r="E237" t="inlineStr">
        <is>
          <t>Licencia anual</t>
        </is>
      </c>
      <c r="F237" t="inlineStr">
        <is>
          <t>Software</t>
        </is>
      </c>
      <c r="G237" t="n">
        <v>1</v>
      </c>
      <c r="H237" s="3" t="n">
        <v>450.48</v>
      </c>
      <c r="I237" s="3" t="n">
        <v>297.91</v>
      </c>
      <c r="J237" s="3" t="n">
        <v>450.48</v>
      </c>
    </row>
    <row r="238">
      <c r="A238" s="2" t="n">
        <v>46347</v>
      </c>
      <c r="B238" t="inlineStr">
        <is>
          <t>Luis</t>
        </is>
      </c>
      <c r="C238" t="inlineStr">
        <is>
          <t>Nexo Comercial</t>
        </is>
      </c>
      <c r="D238" t="inlineStr">
        <is>
          <t>Norte</t>
        </is>
      </c>
      <c r="E238" t="inlineStr">
        <is>
          <t>Consultoría (hora)</t>
        </is>
      </c>
      <c r="F238" t="inlineStr">
        <is>
          <t>Servicios</t>
        </is>
      </c>
      <c r="G238" t="n">
        <v>1</v>
      </c>
      <c r="H238" s="3" t="n">
        <v>95.90000000000001</v>
      </c>
      <c r="I238" s="3" t="n">
        <v>66.53</v>
      </c>
      <c r="J238" s="3" t="n">
        <v>95.90000000000001</v>
      </c>
    </row>
    <row r="239">
      <c r="A239" s="2" t="n">
        <v>46335</v>
      </c>
      <c r="B239" t="inlineStr">
        <is>
          <t>Carla</t>
        </is>
      </c>
      <c r="C239" t="inlineStr">
        <is>
          <t>Puna S.A.</t>
        </is>
      </c>
      <c r="D239" t="inlineStr">
        <is>
          <t>Centro</t>
        </is>
      </c>
      <c r="E239" t="inlineStr">
        <is>
          <t>Soporte mensual</t>
        </is>
      </c>
      <c r="F239" t="inlineStr">
        <is>
          <t>Servicios</t>
        </is>
      </c>
      <c r="G239" t="n">
        <v>1</v>
      </c>
      <c r="H239" s="3" t="n">
        <v>243.52</v>
      </c>
      <c r="I239" s="3" t="n">
        <v>153.99</v>
      </c>
      <c r="J239" s="3" t="n">
        <v>243.52</v>
      </c>
    </row>
    <row r="240">
      <c r="A240" s="2" t="n">
        <v>46337</v>
      </c>
      <c r="B240" t="inlineStr">
        <is>
          <t>Ana</t>
        </is>
      </c>
      <c r="C240" t="inlineStr">
        <is>
          <t>Nexo Logística</t>
        </is>
      </c>
      <c r="D240" t="inlineStr">
        <is>
          <t>Norte</t>
        </is>
      </c>
      <c r="E240" t="inlineStr">
        <is>
          <t>Soporte mensual</t>
        </is>
      </c>
      <c r="F240" t="inlineStr">
        <is>
          <t>Servicios</t>
        </is>
      </c>
      <c r="G240" t="n">
        <v>1</v>
      </c>
      <c r="H240" s="3" t="n">
        <v>255.38</v>
      </c>
      <c r="I240" s="3" t="n">
        <v>159.27</v>
      </c>
      <c r="J240" s="3" t="n">
        <v>255.38</v>
      </c>
    </row>
    <row r="241">
      <c r="A241" s="2" t="n">
        <v>46327</v>
      </c>
      <c r="B241" t="inlineStr">
        <is>
          <t>Ana</t>
        </is>
      </c>
      <c r="C241" t="inlineStr">
        <is>
          <t>Gama Tech</t>
        </is>
      </c>
      <c r="D241" t="inlineStr">
        <is>
          <t>Centro</t>
        </is>
      </c>
      <c r="E241" t="inlineStr">
        <is>
          <t>Soporte mensual</t>
        </is>
      </c>
      <c r="F241" t="inlineStr">
        <is>
          <t>Servicios</t>
        </is>
      </c>
      <c r="G241" t="n">
        <v>1</v>
      </c>
      <c r="H241" s="3" t="n">
        <v>231.66</v>
      </c>
      <c r="I241" s="3" t="n">
        <v>173.22</v>
      </c>
      <c r="J241" s="3" t="n">
        <v>231.66</v>
      </c>
    </row>
    <row r="242">
      <c r="A242" s="2" t="n">
        <v>46347</v>
      </c>
      <c r="B242" t="inlineStr">
        <is>
          <t>Carla</t>
        </is>
      </c>
      <c r="C242" t="inlineStr">
        <is>
          <t>Tika Import</t>
        </is>
      </c>
      <c r="D242" t="inlineStr">
        <is>
          <t>Norte</t>
        </is>
      </c>
      <c r="E242" t="inlineStr">
        <is>
          <t>Consultoría (hora)</t>
        </is>
      </c>
      <c r="F242" t="inlineStr">
        <is>
          <t>Servicios</t>
        </is>
      </c>
      <c r="G242" t="n">
        <v>1</v>
      </c>
      <c r="H242" s="3" t="n">
        <v>99.06</v>
      </c>
      <c r="I242" s="3" t="n">
        <v>68.06999999999999</v>
      </c>
      <c r="J242" s="3" t="n">
        <v>99.06</v>
      </c>
    </row>
    <row r="243">
      <c r="A243" s="2" t="n">
        <v>46341</v>
      </c>
      <c r="B243" t="inlineStr">
        <is>
          <t>Ana</t>
        </is>
      </c>
      <c r="C243" t="inlineStr">
        <is>
          <t>Kora Group</t>
        </is>
      </c>
      <c r="D243" t="inlineStr">
        <is>
          <t>Norte</t>
        </is>
      </c>
      <c r="E243" t="inlineStr">
        <is>
          <t>Capacitación</t>
        </is>
      </c>
      <c r="F243" t="inlineStr">
        <is>
          <t>Formación</t>
        </is>
      </c>
      <c r="G243" t="n">
        <v>1</v>
      </c>
      <c r="H243" s="3" t="n">
        <v>304.11</v>
      </c>
      <c r="I243" s="3" t="n">
        <v>209.81</v>
      </c>
      <c r="J243" s="3" t="n">
        <v>304.11</v>
      </c>
    </row>
    <row r="244">
      <c r="A244" s="2" t="n">
        <v>46337</v>
      </c>
      <c r="B244" t="inlineStr">
        <is>
          <t>Jorge</t>
        </is>
      </c>
      <c r="C244" t="inlineStr">
        <is>
          <t>Sol Tech</t>
        </is>
      </c>
      <c r="D244" t="inlineStr">
        <is>
          <t>Sur</t>
        </is>
      </c>
      <c r="E244" t="inlineStr">
        <is>
          <t>Licencia anual</t>
        </is>
      </c>
      <c r="F244" t="inlineStr">
        <is>
          <t>Software</t>
        </is>
      </c>
      <c r="G244" t="n">
        <v>1</v>
      </c>
      <c r="H244" s="3" t="n">
        <v>437.71</v>
      </c>
      <c r="I244" s="3" t="n">
        <v>299.79</v>
      </c>
      <c r="J244" s="3" t="n">
        <v>437.71</v>
      </c>
    </row>
    <row r="245">
      <c r="A245" s="2" t="n">
        <v>46348</v>
      </c>
      <c r="B245" t="inlineStr">
        <is>
          <t>Ana</t>
        </is>
      </c>
      <c r="C245" t="inlineStr">
        <is>
          <t>Río Servicios</t>
        </is>
      </c>
      <c r="D245" t="inlineStr">
        <is>
          <t>Sur</t>
        </is>
      </c>
      <c r="E245" t="inlineStr">
        <is>
          <t>Licencia anual</t>
        </is>
      </c>
      <c r="F245" t="inlineStr">
        <is>
          <t>Software</t>
        </is>
      </c>
      <c r="G245" t="n">
        <v>1</v>
      </c>
      <c r="H245" s="3" t="n">
        <v>474.86</v>
      </c>
      <c r="I245" s="3" t="n">
        <v>339.26</v>
      </c>
      <c r="J245" s="3" t="n">
        <v>474.86</v>
      </c>
    </row>
    <row r="246">
      <c r="A246" s="2" t="n">
        <v>46330</v>
      </c>
      <c r="B246" t="inlineStr">
        <is>
          <t>Ana</t>
        </is>
      </c>
      <c r="C246" t="inlineStr">
        <is>
          <t>Quipu Tech</t>
        </is>
      </c>
      <c r="D246" t="inlineStr">
        <is>
          <t>Centro</t>
        </is>
      </c>
      <c r="E246" t="inlineStr">
        <is>
          <t>Licencia anual</t>
        </is>
      </c>
      <c r="F246" t="inlineStr">
        <is>
          <t>Software</t>
        </is>
      </c>
      <c r="G246" t="n">
        <v>1</v>
      </c>
      <c r="H246" s="3" t="n">
        <v>453.07</v>
      </c>
      <c r="I246" s="3" t="n">
        <v>291.95</v>
      </c>
      <c r="J246" s="3" t="n">
        <v>453.07</v>
      </c>
    </row>
    <row r="247">
      <c r="A247" s="2" t="n">
        <v>46353</v>
      </c>
      <c r="B247" t="inlineStr">
        <is>
          <t>Carla</t>
        </is>
      </c>
      <c r="C247" t="inlineStr">
        <is>
          <t>Tika Tech</t>
        </is>
      </c>
      <c r="D247" t="inlineStr">
        <is>
          <t>Norte</t>
        </is>
      </c>
      <c r="E247" t="inlineStr">
        <is>
          <t>Soporte mensual</t>
        </is>
      </c>
      <c r="F247" t="inlineStr">
        <is>
          <t>Servicios</t>
        </is>
      </c>
      <c r="G247" t="n">
        <v>1</v>
      </c>
      <c r="H247" s="3" t="n">
        <v>258.45</v>
      </c>
      <c r="I247" s="3" t="n">
        <v>168.98</v>
      </c>
      <c r="J247" s="3" t="n">
        <v>258.45</v>
      </c>
    </row>
    <row r="248">
      <c r="A248" s="2" t="n">
        <v>46344</v>
      </c>
      <c r="B248" t="inlineStr">
        <is>
          <t>Carla</t>
        </is>
      </c>
      <c r="C248" t="inlineStr">
        <is>
          <t>Río Tech</t>
        </is>
      </c>
      <c r="D248" t="inlineStr">
        <is>
          <t>Norte</t>
        </is>
      </c>
      <c r="E248" t="inlineStr">
        <is>
          <t>Soporte mensual</t>
        </is>
      </c>
      <c r="F248" t="inlineStr">
        <is>
          <t>Servicios</t>
        </is>
      </c>
      <c r="G248" t="n">
        <v>1</v>
      </c>
      <c r="H248" s="3" t="n">
        <v>239.61</v>
      </c>
      <c r="I248" s="3" t="n">
        <v>167.55</v>
      </c>
      <c r="J248" s="3" t="n">
        <v>239.61</v>
      </c>
    </row>
    <row r="249">
      <c r="A249" s="2" t="n">
        <v>46347</v>
      </c>
      <c r="B249" t="inlineStr">
        <is>
          <t>Carla</t>
        </is>
      </c>
      <c r="C249" t="inlineStr">
        <is>
          <t>Fénix S.A.C.</t>
        </is>
      </c>
      <c r="D249" t="inlineStr">
        <is>
          <t>Norte</t>
        </is>
      </c>
      <c r="E249" t="inlineStr">
        <is>
          <t>Consultoría (hora)</t>
        </is>
      </c>
      <c r="F249" t="inlineStr">
        <is>
          <t>Servicios</t>
        </is>
      </c>
      <c r="G249" t="n">
        <v>1</v>
      </c>
      <c r="H249" s="3" t="n">
        <v>93.47</v>
      </c>
      <c r="I249" s="3" t="n">
        <v>61.71</v>
      </c>
      <c r="J249" s="3" t="n">
        <v>93.47</v>
      </c>
    </row>
    <row r="250">
      <c r="A250" s="2" t="n">
        <v>46343</v>
      </c>
      <c r="B250" t="inlineStr">
        <is>
          <t>Jorge</t>
        </is>
      </c>
      <c r="C250" t="inlineStr">
        <is>
          <t>Mistura Logística</t>
        </is>
      </c>
      <c r="D250" t="inlineStr">
        <is>
          <t>Norte</t>
        </is>
      </c>
      <c r="E250" t="inlineStr">
        <is>
          <t>Consultoría (hora)</t>
        </is>
      </c>
      <c r="F250" t="inlineStr">
        <is>
          <t>Servicios</t>
        </is>
      </c>
      <c r="G250" t="n">
        <v>1</v>
      </c>
      <c r="H250" s="3" t="n">
        <v>87.42</v>
      </c>
      <c r="I250" s="3" t="n">
        <v>53.49</v>
      </c>
      <c r="J250" s="3" t="n">
        <v>87.42</v>
      </c>
    </row>
    <row r="251">
      <c r="A251" s="2" t="n">
        <v>46348</v>
      </c>
      <c r="B251" t="inlineStr">
        <is>
          <t>Ana</t>
        </is>
      </c>
      <c r="C251" t="inlineStr">
        <is>
          <t>Tika Foods</t>
        </is>
      </c>
      <c r="D251" t="inlineStr">
        <is>
          <t>Centro</t>
        </is>
      </c>
      <c r="E251" t="inlineStr">
        <is>
          <t>Soporte mensual</t>
        </is>
      </c>
      <c r="F251" t="inlineStr">
        <is>
          <t>Servicios</t>
        </is>
      </c>
      <c r="G251" t="n">
        <v>1</v>
      </c>
      <c r="H251" s="3" t="n">
        <v>225.39</v>
      </c>
      <c r="I251" s="3" t="n">
        <v>151.08</v>
      </c>
      <c r="J251" s="3" t="n">
        <v>225.39</v>
      </c>
    </row>
    <row r="252">
      <c r="A252" s="2" t="n">
        <v>46344</v>
      </c>
      <c r="B252" t="inlineStr">
        <is>
          <t>Carla</t>
        </is>
      </c>
      <c r="C252" t="inlineStr">
        <is>
          <t>Andes Tech</t>
        </is>
      </c>
      <c r="D252" t="inlineStr">
        <is>
          <t>Norte</t>
        </is>
      </c>
      <c r="E252" t="inlineStr">
        <is>
          <t>Licencia anual</t>
        </is>
      </c>
      <c r="F252" t="inlineStr">
        <is>
          <t>Software</t>
        </is>
      </c>
      <c r="G252" t="n">
        <v>1</v>
      </c>
      <c r="H252" s="3" t="n">
        <v>473.61</v>
      </c>
      <c r="I252" s="3" t="n">
        <v>284.37</v>
      </c>
      <c r="J252" s="3" t="n">
        <v>473.61</v>
      </c>
    </row>
    <row r="253">
      <c r="A253" s="2" t="n">
        <v>46351</v>
      </c>
      <c r="B253" t="inlineStr">
        <is>
          <t>Luis</t>
        </is>
      </c>
      <c r="C253" t="inlineStr">
        <is>
          <t>Tika Ltda.</t>
        </is>
      </c>
      <c r="D253" t="inlineStr">
        <is>
          <t>Centro</t>
        </is>
      </c>
      <c r="E253" t="inlineStr">
        <is>
          <t>Capacitación</t>
        </is>
      </c>
      <c r="F253" t="inlineStr">
        <is>
          <t>Formación</t>
        </is>
      </c>
      <c r="G253" t="n">
        <v>1</v>
      </c>
      <c r="H253" s="3" t="n">
        <v>309.18</v>
      </c>
      <c r="I253" s="3" t="n">
        <v>188.5</v>
      </c>
      <c r="J253" s="3" t="n">
        <v>309.18</v>
      </c>
    </row>
    <row r="254">
      <c r="A254" s="2" t="n">
        <v>46342</v>
      </c>
      <c r="B254" t="inlineStr">
        <is>
          <t>Jorge</t>
        </is>
      </c>
      <c r="C254" t="inlineStr">
        <is>
          <t>Tika Retail</t>
        </is>
      </c>
      <c r="D254" t="inlineStr">
        <is>
          <t>Sur</t>
        </is>
      </c>
      <c r="E254" t="inlineStr">
        <is>
          <t>Capacitación</t>
        </is>
      </c>
      <c r="F254" t="inlineStr">
        <is>
          <t>Formación</t>
        </is>
      </c>
      <c r="G254" t="n">
        <v>1</v>
      </c>
      <c r="H254" s="3" t="n">
        <v>316.9</v>
      </c>
      <c r="I254" s="3" t="n">
        <v>230.67</v>
      </c>
      <c r="J254" s="3" t="n">
        <v>316.9</v>
      </c>
    </row>
    <row r="255">
      <c r="A255" s="2" t="n">
        <v>46332</v>
      </c>
      <c r="B255" t="inlineStr">
        <is>
          <t>Ana</t>
        </is>
      </c>
      <c r="C255" t="inlineStr">
        <is>
          <t>Eco S.A.</t>
        </is>
      </c>
      <c r="D255" t="inlineStr">
        <is>
          <t>Centro</t>
        </is>
      </c>
      <c r="E255" t="inlineStr">
        <is>
          <t>Consultoría (hora)</t>
        </is>
      </c>
      <c r="F255" t="inlineStr">
        <is>
          <t>Servicios</t>
        </is>
      </c>
      <c r="G255" t="n">
        <v>1</v>
      </c>
      <c r="H255" s="3" t="n">
        <v>88.78</v>
      </c>
      <c r="I255" s="3" t="n">
        <v>53.59</v>
      </c>
      <c r="J255" s="3" t="n">
        <v>88.78</v>
      </c>
    </row>
    <row r="256">
      <c r="A256" s="2" t="n">
        <v>46329</v>
      </c>
      <c r="B256" t="inlineStr">
        <is>
          <t>Carla</t>
        </is>
      </c>
      <c r="C256" t="inlineStr">
        <is>
          <t>Delta Retail</t>
        </is>
      </c>
      <c r="D256" t="inlineStr">
        <is>
          <t>Sur</t>
        </is>
      </c>
      <c r="E256" t="inlineStr">
        <is>
          <t>Soporte mensual</t>
        </is>
      </c>
      <c r="F256" t="inlineStr">
        <is>
          <t>Servicios</t>
        </is>
      </c>
      <c r="G256" t="n">
        <v>1</v>
      </c>
      <c r="H256" s="3" t="n">
        <v>243.05</v>
      </c>
      <c r="I256" s="3" t="n">
        <v>171.05</v>
      </c>
      <c r="J256" s="3" t="n">
        <v>243.05</v>
      </c>
    </row>
    <row r="257">
      <c r="A257" s="2" t="n">
        <v>46335</v>
      </c>
      <c r="B257" t="inlineStr">
        <is>
          <t>Jorge</t>
        </is>
      </c>
      <c r="C257" t="inlineStr">
        <is>
          <t>Mistura S.A.C.</t>
        </is>
      </c>
      <c r="D257" t="inlineStr">
        <is>
          <t>Sur</t>
        </is>
      </c>
      <c r="E257" t="inlineStr">
        <is>
          <t>Licencia anual</t>
        </is>
      </c>
      <c r="F257" t="inlineStr">
        <is>
          <t>Software</t>
        </is>
      </c>
      <c r="G257" t="n">
        <v>1</v>
      </c>
      <c r="H257" s="3" t="n">
        <v>425.43</v>
      </c>
      <c r="I257" s="3" t="n">
        <v>305.72</v>
      </c>
      <c r="J257" s="3" t="n">
        <v>425.43</v>
      </c>
    </row>
    <row r="258">
      <c r="A258" s="2" t="n">
        <v>46328</v>
      </c>
      <c r="B258" t="inlineStr">
        <is>
          <t>Luis</t>
        </is>
      </c>
      <c r="C258" t="inlineStr">
        <is>
          <t>Jade Ltda.</t>
        </is>
      </c>
      <c r="D258" t="inlineStr">
        <is>
          <t>Norte</t>
        </is>
      </c>
      <c r="E258" t="inlineStr">
        <is>
          <t>Consultoría (hora)</t>
        </is>
      </c>
      <c r="F258" t="inlineStr">
        <is>
          <t>Servicios</t>
        </is>
      </c>
      <c r="G258" t="n">
        <v>1</v>
      </c>
      <c r="H258" s="3" t="n">
        <v>93.18000000000001</v>
      </c>
      <c r="I258" s="3" t="n">
        <v>67.78</v>
      </c>
      <c r="J258" s="3" t="n">
        <v>93.18000000000001</v>
      </c>
    </row>
    <row r="259">
      <c r="A259" s="2" t="n">
        <v>46344</v>
      </c>
      <c r="B259" t="inlineStr">
        <is>
          <t>Carla</t>
        </is>
      </c>
      <c r="C259" t="inlineStr">
        <is>
          <t>Fénix Logística</t>
        </is>
      </c>
      <c r="D259" t="inlineStr">
        <is>
          <t>Norte</t>
        </is>
      </c>
      <c r="E259" t="inlineStr">
        <is>
          <t>Consultoría (hora)</t>
        </is>
      </c>
      <c r="F259" t="inlineStr">
        <is>
          <t>Servicios</t>
        </is>
      </c>
      <c r="G259" t="n">
        <v>1</v>
      </c>
      <c r="H259" s="3" t="n">
        <v>87.3</v>
      </c>
      <c r="I259" s="3" t="n">
        <v>65.09</v>
      </c>
      <c r="J259" s="3" t="n">
        <v>87.3</v>
      </c>
    </row>
    <row r="260">
      <c r="A260" s="2" t="n">
        <v>46333</v>
      </c>
      <c r="B260" t="inlineStr">
        <is>
          <t>Carla</t>
        </is>
      </c>
      <c r="C260" t="inlineStr">
        <is>
          <t>Lago Tech</t>
        </is>
      </c>
      <c r="D260" t="inlineStr">
        <is>
          <t>Norte</t>
        </is>
      </c>
      <c r="E260" t="inlineStr">
        <is>
          <t>Consultoría (hora)</t>
        </is>
      </c>
      <c r="F260" t="inlineStr">
        <is>
          <t>Servicios</t>
        </is>
      </c>
      <c r="G260" t="n">
        <v>1</v>
      </c>
      <c r="H260" s="3" t="n">
        <v>98.55</v>
      </c>
      <c r="I260" s="3" t="n">
        <v>61.29</v>
      </c>
      <c r="J260" s="3" t="n">
        <v>98.55</v>
      </c>
    </row>
    <row r="261">
      <c r="A261" s="2" t="n">
        <v>46343</v>
      </c>
      <c r="B261" t="inlineStr">
        <is>
          <t>Ana</t>
        </is>
      </c>
      <c r="C261" t="inlineStr">
        <is>
          <t>Río Group</t>
        </is>
      </c>
      <c r="D261" t="inlineStr">
        <is>
          <t>Norte</t>
        </is>
      </c>
      <c r="E261" t="inlineStr">
        <is>
          <t>Capacitación</t>
        </is>
      </c>
      <c r="F261" t="inlineStr">
        <is>
          <t>Formación</t>
        </is>
      </c>
      <c r="G261" t="n">
        <v>1</v>
      </c>
      <c r="H261" s="3" t="n">
        <v>311.08</v>
      </c>
      <c r="I261" s="3" t="n">
        <v>206.09</v>
      </c>
      <c r="J261" s="3" t="n">
        <v>311.08</v>
      </c>
    </row>
    <row r="262">
      <c r="A262" s="2" t="n">
        <v>46342</v>
      </c>
      <c r="B262" t="inlineStr">
        <is>
          <t>Carla</t>
        </is>
      </c>
      <c r="C262" t="inlineStr">
        <is>
          <t>Puna Servicios</t>
        </is>
      </c>
      <c r="D262" t="inlineStr">
        <is>
          <t>Norte</t>
        </is>
      </c>
      <c r="E262" t="inlineStr">
        <is>
          <t>Soporte mensual</t>
        </is>
      </c>
      <c r="F262" t="inlineStr">
        <is>
          <t>Servicios</t>
        </is>
      </c>
      <c r="G262" t="n">
        <v>1</v>
      </c>
      <c r="H262" s="3" t="n">
        <v>232.67</v>
      </c>
      <c r="I262" s="3" t="n">
        <v>173.88</v>
      </c>
      <c r="J262" s="3" t="n">
        <v>232.67</v>
      </c>
    </row>
    <row r="263">
      <c r="A263" s="2" t="n">
        <v>46352</v>
      </c>
      <c r="B263" t="inlineStr">
        <is>
          <t>Carla</t>
        </is>
      </c>
      <c r="C263" t="inlineStr">
        <is>
          <t>Quipu Logística</t>
        </is>
      </c>
      <c r="D263" t="inlineStr">
        <is>
          <t>Sur</t>
        </is>
      </c>
      <c r="E263" t="inlineStr">
        <is>
          <t>Consultoría (hora)</t>
        </is>
      </c>
      <c r="F263" t="inlineStr">
        <is>
          <t>Servicios</t>
        </is>
      </c>
      <c r="G263" t="n">
        <v>1</v>
      </c>
      <c r="H263" s="3" t="n">
        <v>102.98</v>
      </c>
      <c r="I263" s="3" t="n">
        <v>69.56</v>
      </c>
      <c r="J263" s="3" t="n">
        <v>102.98</v>
      </c>
    </row>
    <row r="264">
      <c r="A264" s="2" t="n">
        <v>46329</v>
      </c>
      <c r="B264" t="inlineStr">
        <is>
          <t>Luis</t>
        </is>
      </c>
      <c r="C264" t="inlineStr">
        <is>
          <t>Delta Retail</t>
        </is>
      </c>
      <c r="D264" t="inlineStr">
        <is>
          <t>Sur</t>
        </is>
      </c>
      <c r="E264" t="inlineStr">
        <is>
          <t>Consultoría (hora)</t>
        </is>
      </c>
      <c r="F264" t="inlineStr">
        <is>
          <t>Servicios</t>
        </is>
      </c>
      <c r="G264" t="n">
        <v>1</v>
      </c>
      <c r="H264" s="3" t="n">
        <v>90.03</v>
      </c>
      <c r="I264" s="3" t="n">
        <v>64.58</v>
      </c>
      <c r="J264" s="3" t="n">
        <v>90.03</v>
      </c>
    </row>
    <row r="265">
      <c r="A265" s="2" t="n">
        <v>46337</v>
      </c>
      <c r="B265" t="inlineStr">
        <is>
          <t>Jorge</t>
        </is>
      </c>
      <c r="C265" t="inlineStr">
        <is>
          <t>Quipu Foods</t>
        </is>
      </c>
      <c r="D265" t="inlineStr">
        <is>
          <t>Centro</t>
        </is>
      </c>
      <c r="E265" t="inlineStr">
        <is>
          <t>Capacitación</t>
        </is>
      </c>
      <c r="F265" t="inlineStr">
        <is>
          <t>Formación</t>
        </is>
      </c>
      <c r="G265" t="n">
        <v>1</v>
      </c>
      <c r="H265" s="3" t="n">
        <v>343.88</v>
      </c>
      <c r="I265" s="3" t="n">
        <v>222.89</v>
      </c>
      <c r="J265" s="3" t="n">
        <v>343.88</v>
      </c>
    </row>
    <row r="266">
      <c r="A266" s="2" t="n">
        <v>46342</v>
      </c>
      <c r="B266" t="inlineStr">
        <is>
          <t>Carla</t>
        </is>
      </c>
      <c r="C266" t="inlineStr">
        <is>
          <t>Ola S.A.</t>
        </is>
      </c>
      <c r="D266" t="inlineStr">
        <is>
          <t>Norte</t>
        </is>
      </c>
      <c r="E266" t="inlineStr">
        <is>
          <t>Licencia anual</t>
        </is>
      </c>
      <c r="F266" t="inlineStr">
        <is>
          <t>Software</t>
        </is>
      </c>
      <c r="G266" t="n">
        <v>1</v>
      </c>
      <c r="H266" s="3" t="n">
        <v>416.65</v>
      </c>
      <c r="I266" s="3" t="n">
        <v>287.94</v>
      </c>
      <c r="J266" s="3" t="n">
        <v>416.65</v>
      </c>
    </row>
    <row r="267">
      <c r="A267" s="2" t="n">
        <v>46331</v>
      </c>
      <c r="B267" t="inlineStr">
        <is>
          <t>Luis</t>
        </is>
      </c>
      <c r="C267" t="inlineStr">
        <is>
          <t>Nexo Tech</t>
        </is>
      </c>
      <c r="D267" t="inlineStr">
        <is>
          <t>Centro</t>
        </is>
      </c>
      <c r="E267" t="inlineStr">
        <is>
          <t>Licencia anual</t>
        </is>
      </c>
      <c r="F267" t="inlineStr">
        <is>
          <t>Software</t>
        </is>
      </c>
      <c r="G267" t="n">
        <v>1</v>
      </c>
      <c r="H267" s="3" t="n">
        <v>487.31</v>
      </c>
      <c r="I267" s="3" t="n">
        <v>352.17</v>
      </c>
      <c r="J267" s="3" t="n">
        <v>487.31</v>
      </c>
    </row>
    <row r="268">
      <c r="A268" s="2" t="n">
        <v>46347</v>
      </c>
      <c r="B268" t="inlineStr">
        <is>
          <t>Luis</t>
        </is>
      </c>
      <c r="C268" t="inlineStr">
        <is>
          <t>Gama Foods</t>
        </is>
      </c>
      <c r="D268" t="inlineStr">
        <is>
          <t>Centro</t>
        </is>
      </c>
      <c r="E268" t="inlineStr">
        <is>
          <t>Licencia anual</t>
        </is>
      </c>
      <c r="F268" t="inlineStr">
        <is>
          <t>Software</t>
        </is>
      </c>
      <c r="G268" t="n">
        <v>1</v>
      </c>
      <c r="H268" s="3" t="n">
        <v>474.41</v>
      </c>
      <c r="I268" s="3" t="n">
        <v>317.41</v>
      </c>
      <c r="J268" s="3" t="n">
        <v>474.41</v>
      </c>
    </row>
    <row r="269">
      <c r="A269" s="2" t="n">
        <v>46330</v>
      </c>
      <c r="B269" t="inlineStr">
        <is>
          <t>Carla</t>
        </is>
      </c>
      <c r="C269" t="inlineStr">
        <is>
          <t>Huaca Retail</t>
        </is>
      </c>
      <c r="D269" t="inlineStr">
        <is>
          <t>Centro</t>
        </is>
      </c>
      <c r="E269" t="inlineStr">
        <is>
          <t>Consultoría (hora)</t>
        </is>
      </c>
      <c r="F269" t="inlineStr">
        <is>
          <t>Servicios</t>
        </is>
      </c>
      <c r="G269" t="n">
        <v>1</v>
      </c>
      <c r="H269" s="3" t="n">
        <v>91.37</v>
      </c>
      <c r="I269" s="3" t="n">
        <v>56.28</v>
      </c>
      <c r="J269" s="3" t="n">
        <v>91.37</v>
      </c>
    </row>
    <row r="270">
      <c r="A270" s="2" t="n">
        <v>46353</v>
      </c>
      <c r="B270" t="inlineStr">
        <is>
          <t>Ana</t>
        </is>
      </c>
      <c r="C270" t="inlineStr">
        <is>
          <t>Eco Servicios</t>
        </is>
      </c>
      <c r="D270" t="inlineStr">
        <is>
          <t>Sur</t>
        </is>
      </c>
      <c r="E270" t="inlineStr">
        <is>
          <t>Licencia anual</t>
        </is>
      </c>
      <c r="F270" t="inlineStr">
        <is>
          <t>Software</t>
        </is>
      </c>
      <c r="G270" t="n">
        <v>1</v>
      </c>
      <c r="H270" s="3" t="n">
        <v>455.52</v>
      </c>
      <c r="I270" s="3" t="n">
        <v>297.27</v>
      </c>
      <c r="J270" s="3" t="n">
        <v>455.52</v>
      </c>
    </row>
    <row r="271">
      <c r="A271" s="2" t="n">
        <v>46337</v>
      </c>
      <c r="B271" t="inlineStr">
        <is>
          <t>Carla</t>
        </is>
      </c>
      <c r="C271" t="inlineStr">
        <is>
          <t>Lago Tech</t>
        </is>
      </c>
      <c r="D271" t="inlineStr">
        <is>
          <t>Norte</t>
        </is>
      </c>
      <c r="E271" t="inlineStr">
        <is>
          <t>Soporte mensual</t>
        </is>
      </c>
      <c r="F271" t="inlineStr">
        <is>
          <t>Servicios</t>
        </is>
      </c>
      <c r="G271" t="n">
        <v>1</v>
      </c>
      <c r="H271" s="3" t="n">
        <v>266.26</v>
      </c>
      <c r="I271" s="3" t="n">
        <v>189.09</v>
      </c>
      <c r="J271" s="3" t="n">
        <v>266.26</v>
      </c>
    </row>
    <row r="272">
      <c r="A272" s="2" t="n">
        <v>46346</v>
      </c>
      <c r="B272" t="inlineStr">
        <is>
          <t>Luis</t>
        </is>
      </c>
      <c r="C272" t="inlineStr">
        <is>
          <t>Bahía Tech</t>
        </is>
      </c>
      <c r="D272" t="inlineStr">
        <is>
          <t>Norte</t>
        </is>
      </c>
      <c r="E272" t="inlineStr">
        <is>
          <t>Consultoría (hora)</t>
        </is>
      </c>
      <c r="F272" t="inlineStr">
        <is>
          <t>Servicios</t>
        </is>
      </c>
      <c r="G272" t="n">
        <v>1</v>
      </c>
      <c r="H272" s="3" t="n">
        <v>101.51</v>
      </c>
      <c r="I272" s="3" t="n">
        <v>75.41</v>
      </c>
      <c r="J272" s="3" t="n">
        <v>101.51</v>
      </c>
    </row>
    <row r="273">
      <c r="A273" s="2" t="n">
        <v>46330</v>
      </c>
      <c r="B273" t="inlineStr">
        <is>
          <t>Luis</t>
        </is>
      </c>
      <c r="C273" t="inlineStr">
        <is>
          <t>Nexo Tech</t>
        </is>
      </c>
      <c r="D273" t="inlineStr">
        <is>
          <t>Centro</t>
        </is>
      </c>
      <c r="E273" t="inlineStr">
        <is>
          <t>Capacitación</t>
        </is>
      </c>
      <c r="F273" t="inlineStr">
        <is>
          <t>Formación</t>
        </is>
      </c>
      <c r="G273" t="n">
        <v>1</v>
      </c>
      <c r="H273" s="3" t="n">
        <v>348.14</v>
      </c>
      <c r="I273" s="3" t="n">
        <v>231.62</v>
      </c>
      <c r="J273" s="3" t="n">
        <v>348.14</v>
      </c>
    </row>
    <row r="274">
      <c r="A274" s="2" t="n">
        <v>46343</v>
      </c>
      <c r="B274" t="inlineStr">
        <is>
          <t>Luis</t>
        </is>
      </c>
      <c r="C274" t="inlineStr">
        <is>
          <t>Eco S.A.</t>
        </is>
      </c>
      <c r="D274" t="inlineStr">
        <is>
          <t>Centro</t>
        </is>
      </c>
      <c r="E274" t="inlineStr">
        <is>
          <t>Licencia anual</t>
        </is>
      </c>
      <c r="F274" t="inlineStr">
        <is>
          <t>Software</t>
        </is>
      </c>
      <c r="G274" t="n">
        <v>1</v>
      </c>
      <c r="H274" s="3" t="n">
        <v>475.91</v>
      </c>
      <c r="I274" s="3" t="n">
        <v>352.7</v>
      </c>
      <c r="J274" s="3" t="n">
        <v>475.91</v>
      </c>
    </row>
    <row r="275">
      <c r="A275" s="2" t="n">
        <v>46342</v>
      </c>
      <c r="B275" t="inlineStr">
        <is>
          <t>Luis</t>
        </is>
      </c>
      <c r="C275" t="inlineStr">
        <is>
          <t>Sol Logística</t>
        </is>
      </c>
      <c r="D275" t="inlineStr">
        <is>
          <t>Norte</t>
        </is>
      </c>
      <c r="E275" t="inlineStr">
        <is>
          <t>Licencia anual</t>
        </is>
      </c>
      <c r="F275" t="inlineStr">
        <is>
          <t>Software</t>
        </is>
      </c>
      <c r="G275" t="n">
        <v>1</v>
      </c>
      <c r="H275" s="3" t="n">
        <v>445.9</v>
      </c>
      <c r="I275" s="3" t="n">
        <v>324.67</v>
      </c>
      <c r="J275" s="3" t="n">
        <v>445.9</v>
      </c>
    </row>
    <row r="276">
      <c r="A276" s="2" t="n">
        <v>46328</v>
      </c>
      <c r="B276" t="inlineStr">
        <is>
          <t>Carla</t>
        </is>
      </c>
      <c r="C276" t="inlineStr">
        <is>
          <t>Huaca Comercial</t>
        </is>
      </c>
      <c r="D276" t="inlineStr">
        <is>
          <t>Sur</t>
        </is>
      </c>
      <c r="E276" t="inlineStr">
        <is>
          <t>Consultoría (hora)</t>
        </is>
      </c>
      <c r="F276" t="inlineStr">
        <is>
          <t>Servicios</t>
        </is>
      </c>
      <c r="G276" t="n">
        <v>1</v>
      </c>
      <c r="H276" s="3" t="n">
        <v>86.05</v>
      </c>
      <c r="I276" s="3" t="n">
        <v>63.63</v>
      </c>
      <c r="J276" s="3" t="n">
        <v>86.05</v>
      </c>
    </row>
    <row r="277">
      <c r="A277" s="2" t="n">
        <v>46352</v>
      </c>
      <c r="B277" t="inlineStr">
        <is>
          <t>Jorge</t>
        </is>
      </c>
      <c r="C277" t="inlineStr">
        <is>
          <t>Quipu Import</t>
        </is>
      </c>
      <c r="D277" t="inlineStr">
        <is>
          <t>Centro</t>
        </is>
      </c>
      <c r="E277" t="inlineStr">
        <is>
          <t>Consultoría (hora)</t>
        </is>
      </c>
      <c r="F277" t="inlineStr">
        <is>
          <t>Servicios</t>
        </is>
      </c>
      <c r="G277" t="n">
        <v>1</v>
      </c>
      <c r="H277" s="3" t="n">
        <v>100.25</v>
      </c>
      <c r="I277" s="3" t="n">
        <v>66.19</v>
      </c>
      <c r="J277" s="3" t="n">
        <v>100.25</v>
      </c>
    </row>
    <row r="278">
      <c r="A278" s="2" t="n">
        <v>46345</v>
      </c>
      <c r="B278" t="inlineStr">
        <is>
          <t>Carla</t>
        </is>
      </c>
      <c r="C278" t="inlineStr">
        <is>
          <t>Mistura Servicios</t>
        </is>
      </c>
      <c r="D278" t="inlineStr">
        <is>
          <t>Centro</t>
        </is>
      </c>
      <c r="E278" t="inlineStr">
        <is>
          <t>Consultoría (hora)</t>
        </is>
      </c>
      <c r="F278" t="inlineStr">
        <is>
          <t>Servicios</t>
        </is>
      </c>
      <c r="G278" t="n">
        <v>1</v>
      </c>
      <c r="H278" s="3" t="n">
        <v>91.26000000000001</v>
      </c>
      <c r="I278" s="3" t="n">
        <v>55.82</v>
      </c>
      <c r="J278" s="3" t="n">
        <v>91.26000000000001</v>
      </c>
    </row>
    <row r="279">
      <c r="A279" s="2" t="n">
        <v>46336</v>
      </c>
      <c r="B279" t="inlineStr">
        <is>
          <t>Ana</t>
        </is>
      </c>
      <c r="C279" t="inlineStr">
        <is>
          <t>Gama S.A.</t>
        </is>
      </c>
      <c r="D279" t="inlineStr">
        <is>
          <t>Norte</t>
        </is>
      </c>
      <c r="E279" t="inlineStr">
        <is>
          <t>Soporte mensual</t>
        </is>
      </c>
      <c r="F279" t="inlineStr">
        <is>
          <t>Servicios</t>
        </is>
      </c>
      <c r="G279" t="n">
        <v>1</v>
      </c>
      <c r="H279" s="3" t="n">
        <v>225.05</v>
      </c>
      <c r="I279" s="3" t="n">
        <v>140.38</v>
      </c>
      <c r="J279" s="3" t="n">
        <v>225.05</v>
      </c>
    </row>
    <row r="280">
      <c r="A280" s="2" t="n">
        <v>46335</v>
      </c>
      <c r="B280" t="inlineStr">
        <is>
          <t>Ana</t>
        </is>
      </c>
      <c r="C280" t="inlineStr">
        <is>
          <t>Puna Foods</t>
        </is>
      </c>
      <c r="D280" t="inlineStr">
        <is>
          <t>Centro</t>
        </is>
      </c>
      <c r="E280" t="inlineStr">
        <is>
          <t>Licencia anual</t>
        </is>
      </c>
      <c r="F280" t="inlineStr">
        <is>
          <t>Software</t>
        </is>
      </c>
      <c r="G280" t="n">
        <v>1</v>
      </c>
      <c r="H280" s="3" t="n">
        <v>479.37</v>
      </c>
      <c r="I280" s="3" t="n">
        <v>309.94</v>
      </c>
      <c r="J280" s="3" t="n">
        <v>479.37</v>
      </c>
    </row>
    <row r="281">
      <c r="A281" s="2" t="n">
        <v>46332</v>
      </c>
      <c r="B281" t="inlineStr">
        <is>
          <t>Ana</t>
        </is>
      </c>
      <c r="C281" t="inlineStr">
        <is>
          <t>Ícaro Tech</t>
        </is>
      </c>
      <c r="D281" t="inlineStr">
        <is>
          <t>Sur</t>
        </is>
      </c>
      <c r="E281" t="inlineStr">
        <is>
          <t>Consultoría (hora)</t>
        </is>
      </c>
      <c r="F281" t="inlineStr">
        <is>
          <t>Servicios</t>
        </is>
      </c>
      <c r="G281" t="n">
        <v>1</v>
      </c>
      <c r="H281" s="3" t="n">
        <v>90.83</v>
      </c>
      <c r="I281" s="3" t="n">
        <v>56.98</v>
      </c>
      <c r="J281" s="3" t="n">
        <v>90.83</v>
      </c>
    </row>
    <row r="282">
      <c r="A282" s="2" t="n">
        <v>46333</v>
      </c>
      <c r="B282" t="inlineStr">
        <is>
          <t>Jorge</t>
        </is>
      </c>
      <c r="C282" t="inlineStr">
        <is>
          <t>Kora Import</t>
        </is>
      </c>
      <c r="D282" t="inlineStr">
        <is>
          <t>Centro</t>
        </is>
      </c>
      <c r="E282" t="inlineStr">
        <is>
          <t>Soporte mensual</t>
        </is>
      </c>
      <c r="F282" t="inlineStr">
        <is>
          <t>Servicios</t>
        </is>
      </c>
      <c r="G282" t="n">
        <v>1</v>
      </c>
      <c r="H282" s="3" t="n">
        <v>258.22</v>
      </c>
      <c r="I282" s="3" t="n">
        <v>180.04</v>
      </c>
      <c r="J282" s="3" t="n">
        <v>258.22</v>
      </c>
    </row>
    <row r="283">
      <c r="A283" s="2" t="n">
        <v>46328</v>
      </c>
      <c r="B283" t="inlineStr">
        <is>
          <t>Jorge</t>
        </is>
      </c>
      <c r="C283" t="inlineStr">
        <is>
          <t>Ícaro Group</t>
        </is>
      </c>
      <c r="D283" t="inlineStr">
        <is>
          <t>Norte</t>
        </is>
      </c>
      <c r="E283" t="inlineStr">
        <is>
          <t>Consultoría (hora)</t>
        </is>
      </c>
      <c r="F283" t="inlineStr">
        <is>
          <t>Servicios</t>
        </is>
      </c>
      <c r="G283" t="n">
        <v>1</v>
      </c>
      <c r="H283" s="3" t="n">
        <v>88.31999999999999</v>
      </c>
      <c r="I283" s="3" t="n">
        <v>61.9</v>
      </c>
      <c r="J283" s="3" t="n">
        <v>88.31999999999999</v>
      </c>
    </row>
    <row r="284">
      <c r="A284" s="2" t="n">
        <v>46334</v>
      </c>
      <c r="B284" t="inlineStr">
        <is>
          <t>Jorge</t>
        </is>
      </c>
      <c r="C284" t="inlineStr">
        <is>
          <t>Cóndor Ltda.</t>
        </is>
      </c>
      <c r="D284" t="inlineStr">
        <is>
          <t>Sur</t>
        </is>
      </c>
      <c r="E284" t="inlineStr">
        <is>
          <t>Consultoría (hora)</t>
        </is>
      </c>
      <c r="F284" t="inlineStr">
        <is>
          <t>Servicios</t>
        </is>
      </c>
      <c r="G284" t="n">
        <v>1</v>
      </c>
      <c r="H284" s="3" t="n">
        <v>96.89</v>
      </c>
      <c r="I284" s="3" t="n">
        <v>59.92</v>
      </c>
      <c r="J284" s="3" t="n">
        <v>96.89</v>
      </c>
    </row>
    <row r="285">
      <c r="A285" s="2" t="n">
        <v>46352</v>
      </c>
      <c r="B285" t="inlineStr">
        <is>
          <t>Luis</t>
        </is>
      </c>
      <c r="C285" t="inlineStr">
        <is>
          <t>Gama Tech</t>
        </is>
      </c>
      <c r="D285" t="inlineStr">
        <is>
          <t>Centro</t>
        </is>
      </c>
      <c r="E285" t="inlineStr">
        <is>
          <t>Capacitación</t>
        </is>
      </c>
      <c r="F285" t="inlineStr">
        <is>
          <t>Formación</t>
        </is>
      </c>
      <c r="G285" t="n">
        <v>1</v>
      </c>
      <c r="H285" s="3" t="n">
        <v>339.23</v>
      </c>
      <c r="I285" s="3" t="n">
        <v>206.17</v>
      </c>
      <c r="J285" s="3" t="n">
        <v>339.23</v>
      </c>
    </row>
    <row r="286">
      <c r="A286" s="2" t="n">
        <v>46341</v>
      </c>
      <c r="B286" t="inlineStr">
        <is>
          <t>Luis</t>
        </is>
      </c>
      <c r="C286" t="inlineStr">
        <is>
          <t>Jade S.A.</t>
        </is>
      </c>
      <c r="D286" t="inlineStr">
        <is>
          <t>Centro</t>
        </is>
      </c>
      <c r="E286" t="inlineStr">
        <is>
          <t>Licencia anual</t>
        </is>
      </c>
      <c r="F286" t="inlineStr">
        <is>
          <t>Software</t>
        </is>
      </c>
      <c r="G286" t="n">
        <v>1</v>
      </c>
      <c r="H286" s="3" t="n">
        <v>416.4</v>
      </c>
      <c r="I286" s="3" t="n">
        <v>252.87</v>
      </c>
      <c r="J286" s="3" t="n">
        <v>416.4</v>
      </c>
    </row>
    <row r="287">
      <c r="A287" s="2" t="n">
        <v>46348</v>
      </c>
      <c r="B287" t="inlineStr">
        <is>
          <t>Luis</t>
        </is>
      </c>
      <c r="C287" t="inlineStr">
        <is>
          <t>Mistura S.A.C.</t>
        </is>
      </c>
      <c r="D287" t="inlineStr">
        <is>
          <t>Sur</t>
        </is>
      </c>
      <c r="E287" t="inlineStr">
        <is>
          <t>Capacitación</t>
        </is>
      </c>
      <c r="F287" t="inlineStr">
        <is>
          <t>Formación</t>
        </is>
      </c>
      <c r="G287" t="n">
        <v>1</v>
      </c>
      <c r="H287" s="3" t="n">
        <v>312.25</v>
      </c>
      <c r="I287" s="3" t="n">
        <v>192.59</v>
      </c>
      <c r="J287" s="3" t="n">
        <v>312.25</v>
      </c>
    </row>
    <row r="288">
      <c r="A288" s="2" t="n">
        <v>46353</v>
      </c>
      <c r="B288" t="inlineStr">
        <is>
          <t>Luis</t>
        </is>
      </c>
      <c r="C288" t="inlineStr">
        <is>
          <t>Andes Comercial</t>
        </is>
      </c>
      <c r="D288" t="inlineStr">
        <is>
          <t>Centro</t>
        </is>
      </c>
      <c r="E288" t="inlineStr">
        <is>
          <t>Consultoría (hora)</t>
        </is>
      </c>
      <c r="F288" t="inlineStr">
        <is>
          <t>Servicios</t>
        </is>
      </c>
      <c r="G288" t="n">
        <v>1</v>
      </c>
      <c r="H288" s="3" t="n">
        <v>89.38</v>
      </c>
      <c r="I288" s="3" t="n">
        <v>62.3</v>
      </c>
      <c r="J288" s="3" t="n">
        <v>89.38</v>
      </c>
    </row>
    <row r="289">
      <c r="A289" s="2" t="n">
        <v>46332</v>
      </c>
      <c r="B289" t="inlineStr">
        <is>
          <t>Luis</t>
        </is>
      </c>
      <c r="C289" t="inlineStr">
        <is>
          <t>Quipu Group</t>
        </is>
      </c>
      <c r="D289" t="inlineStr">
        <is>
          <t>Centro</t>
        </is>
      </c>
      <c r="E289" t="inlineStr">
        <is>
          <t>Consultoría (hora)</t>
        </is>
      </c>
      <c r="F289" t="inlineStr">
        <is>
          <t>Servicios</t>
        </is>
      </c>
      <c r="G289" t="n">
        <v>1</v>
      </c>
      <c r="H289" s="3" t="n">
        <v>93.27</v>
      </c>
      <c r="I289" s="3" t="n">
        <v>59.56</v>
      </c>
      <c r="J289" s="3" t="n">
        <v>93.27</v>
      </c>
    </row>
    <row r="290">
      <c r="A290" s="2" t="n">
        <v>46351</v>
      </c>
      <c r="B290" t="inlineStr">
        <is>
          <t>Luis</t>
        </is>
      </c>
      <c r="C290" t="inlineStr">
        <is>
          <t>Cóndor Tech</t>
        </is>
      </c>
      <c r="D290" t="inlineStr">
        <is>
          <t>Centro</t>
        </is>
      </c>
      <c r="E290" t="inlineStr">
        <is>
          <t>Soporte mensual</t>
        </is>
      </c>
      <c r="F290" t="inlineStr">
        <is>
          <t>Servicios</t>
        </is>
      </c>
      <c r="G290" t="n">
        <v>1</v>
      </c>
      <c r="H290" s="3" t="n">
        <v>236.05</v>
      </c>
      <c r="I290" s="3" t="n">
        <v>157.32</v>
      </c>
      <c r="J290" s="3" t="n">
        <v>236.05</v>
      </c>
    </row>
    <row r="291">
      <c r="A291" s="2" t="n">
        <v>46347</v>
      </c>
      <c r="B291" t="inlineStr">
        <is>
          <t>Ana</t>
        </is>
      </c>
      <c r="C291" t="inlineStr">
        <is>
          <t>Nexo Ltda.</t>
        </is>
      </c>
      <c r="D291" t="inlineStr">
        <is>
          <t>Centro</t>
        </is>
      </c>
      <c r="E291" t="inlineStr">
        <is>
          <t>Consultoría (hora)</t>
        </is>
      </c>
      <c r="F291" t="inlineStr">
        <is>
          <t>Servicios</t>
        </is>
      </c>
      <c r="G291" t="n">
        <v>1</v>
      </c>
      <c r="H291" s="3" t="n">
        <v>87.18000000000001</v>
      </c>
      <c r="I291" s="3" t="n">
        <v>60.44</v>
      </c>
      <c r="J291" s="3" t="n">
        <v>87.18000000000001</v>
      </c>
    </row>
    <row r="292">
      <c r="A292" s="2" t="n">
        <v>46350</v>
      </c>
      <c r="B292" t="inlineStr">
        <is>
          <t>Jorge</t>
        </is>
      </c>
      <c r="C292" t="inlineStr">
        <is>
          <t>Jade Tech</t>
        </is>
      </c>
      <c r="D292" t="inlineStr">
        <is>
          <t>Centro</t>
        </is>
      </c>
      <c r="E292" t="inlineStr">
        <is>
          <t>Soporte mensual</t>
        </is>
      </c>
      <c r="F292" t="inlineStr">
        <is>
          <t>Servicios</t>
        </is>
      </c>
      <c r="G292" t="n">
        <v>1</v>
      </c>
      <c r="H292" s="3" t="n">
        <v>241.22</v>
      </c>
      <c r="I292" s="3" t="n">
        <v>171.94</v>
      </c>
      <c r="J292" s="3" t="n">
        <v>241.22</v>
      </c>
    </row>
    <row r="293">
      <c r="A293" s="2" t="n">
        <v>46335</v>
      </c>
      <c r="B293" t="inlineStr">
        <is>
          <t>Carla</t>
        </is>
      </c>
      <c r="C293" t="inlineStr">
        <is>
          <t>Lago Retail</t>
        </is>
      </c>
      <c r="D293" t="inlineStr">
        <is>
          <t>Norte</t>
        </is>
      </c>
      <c r="E293" t="inlineStr">
        <is>
          <t>Licencia anual</t>
        </is>
      </c>
      <c r="F293" t="inlineStr">
        <is>
          <t>Software</t>
        </is>
      </c>
      <c r="G293" t="n">
        <v>1</v>
      </c>
      <c r="H293" s="3" t="n">
        <v>495</v>
      </c>
      <c r="I293" s="3" t="n">
        <v>303.82</v>
      </c>
      <c r="J293" s="3" t="n">
        <v>495</v>
      </c>
    </row>
    <row r="294">
      <c r="A294" s="2" t="n">
        <v>46349</v>
      </c>
      <c r="B294" t="inlineStr">
        <is>
          <t>Carla</t>
        </is>
      </c>
      <c r="C294" t="inlineStr">
        <is>
          <t>Kora Foods</t>
        </is>
      </c>
      <c r="D294" t="inlineStr">
        <is>
          <t>Centro</t>
        </is>
      </c>
      <c r="E294" t="inlineStr">
        <is>
          <t>Licencia anual</t>
        </is>
      </c>
      <c r="F294" t="inlineStr">
        <is>
          <t>Software</t>
        </is>
      </c>
      <c r="G294" t="n">
        <v>1</v>
      </c>
      <c r="H294" s="3" t="n">
        <v>415.35</v>
      </c>
      <c r="I294" s="3" t="n">
        <v>259.45</v>
      </c>
      <c r="J294" s="3" t="n">
        <v>415.35</v>
      </c>
    </row>
    <row r="295">
      <c r="A295" s="2" t="n">
        <v>46335</v>
      </c>
      <c r="B295" t="inlineStr">
        <is>
          <t>Ana</t>
        </is>
      </c>
      <c r="C295" t="inlineStr">
        <is>
          <t>Nexo Comercial</t>
        </is>
      </c>
      <c r="D295" t="inlineStr">
        <is>
          <t>Norte</t>
        </is>
      </c>
      <c r="E295" t="inlineStr">
        <is>
          <t>Consultoría (hora)</t>
        </is>
      </c>
      <c r="F295" t="inlineStr">
        <is>
          <t>Servicios</t>
        </is>
      </c>
      <c r="G295" t="n">
        <v>1</v>
      </c>
      <c r="H295" s="3" t="n">
        <v>99.7</v>
      </c>
      <c r="I295" s="3" t="n">
        <v>62.1</v>
      </c>
      <c r="J295" s="3" t="n">
        <v>99.7</v>
      </c>
    </row>
    <row r="296">
      <c r="A296" s="2" t="n">
        <v>46341</v>
      </c>
      <c r="B296" t="inlineStr">
        <is>
          <t>Jorge</t>
        </is>
      </c>
      <c r="C296" t="inlineStr">
        <is>
          <t>Bahía Import</t>
        </is>
      </c>
      <c r="D296" t="inlineStr">
        <is>
          <t>Norte</t>
        </is>
      </c>
      <c r="E296" t="inlineStr">
        <is>
          <t>Capacitación</t>
        </is>
      </c>
      <c r="F296" t="inlineStr">
        <is>
          <t>Formación</t>
        </is>
      </c>
      <c r="G296" t="n">
        <v>1</v>
      </c>
      <c r="H296" s="3" t="n">
        <v>321.57</v>
      </c>
      <c r="I296" s="3" t="n">
        <v>228.58</v>
      </c>
      <c r="J296" s="3" t="n">
        <v>321.57</v>
      </c>
    </row>
    <row r="297">
      <c r="A297" s="2" t="n">
        <v>46333</v>
      </c>
      <c r="B297" t="inlineStr">
        <is>
          <t>Luis</t>
        </is>
      </c>
      <c r="C297" t="inlineStr">
        <is>
          <t>Ícaro Import</t>
        </is>
      </c>
      <c r="D297" t="inlineStr">
        <is>
          <t>Norte</t>
        </is>
      </c>
      <c r="E297" t="inlineStr">
        <is>
          <t>Soporte mensual</t>
        </is>
      </c>
      <c r="F297" t="inlineStr">
        <is>
          <t>Servicios</t>
        </is>
      </c>
      <c r="G297" t="n">
        <v>1</v>
      </c>
      <c r="H297" s="3" t="n">
        <v>255.34</v>
      </c>
      <c r="I297" s="3" t="n">
        <v>153.22</v>
      </c>
      <c r="J297" s="3" t="n">
        <v>255.34</v>
      </c>
    </row>
    <row r="298">
      <c r="A298" s="2" t="n">
        <v>46339</v>
      </c>
      <c r="B298" t="inlineStr">
        <is>
          <t>Carla</t>
        </is>
      </c>
      <c r="C298" t="inlineStr">
        <is>
          <t>Kora Tech</t>
        </is>
      </c>
      <c r="D298" t="inlineStr">
        <is>
          <t>Centro</t>
        </is>
      </c>
      <c r="E298" t="inlineStr">
        <is>
          <t>Licencia anual</t>
        </is>
      </c>
      <c r="F298" t="inlineStr">
        <is>
          <t>Software</t>
        </is>
      </c>
      <c r="G298" t="n">
        <v>1</v>
      </c>
      <c r="H298" s="3" t="n">
        <v>466.21</v>
      </c>
      <c r="I298" s="3" t="n">
        <v>299.43</v>
      </c>
      <c r="J298" s="3" t="n">
        <v>466.21</v>
      </c>
    </row>
    <row r="299">
      <c r="A299" s="2" t="n">
        <v>46344</v>
      </c>
      <c r="B299" t="inlineStr">
        <is>
          <t>Carla</t>
        </is>
      </c>
      <c r="C299" t="inlineStr">
        <is>
          <t>Sol Import</t>
        </is>
      </c>
      <c r="D299" t="inlineStr">
        <is>
          <t>Sur</t>
        </is>
      </c>
      <c r="E299" t="inlineStr">
        <is>
          <t>Soporte mensual</t>
        </is>
      </c>
      <c r="F299" t="inlineStr">
        <is>
          <t>Servicios</t>
        </is>
      </c>
      <c r="G299" t="n">
        <v>1</v>
      </c>
      <c r="H299" s="3" t="n">
        <v>233.8</v>
      </c>
      <c r="I299" s="3" t="n">
        <v>160.68</v>
      </c>
      <c r="J299" s="3" t="n">
        <v>233.8</v>
      </c>
    </row>
    <row r="300">
      <c r="A300" s="2" t="n">
        <v>46331</v>
      </c>
      <c r="B300" t="inlineStr">
        <is>
          <t>Ana</t>
        </is>
      </c>
      <c r="C300" t="inlineStr">
        <is>
          <t>Mistura Logística</t>
        </is>
      </c>
      <c r="D300" t="inlineStr">
        <is>
          <t>Norte</t>
        </is>
      </c>
      <c r="E300" t="inlineStr">
        <is>
          <t>Licencia anual</t>
        </is>
      </c>
      <c r="F300" t="inlineStr">
        <is>
          <t>Software</t>
        </is>
      </c>
      <c r="G300" t="n">
        <v>1</v>
      </c>
      <c r="H300" s="3" t="n">
        <v>412.57</v>
      </c>
      <c r="I300" s="3" t="n">
        <v>305.93</v>
      </c>
      <c r="J300" s="3" t="n">
        <v>412.57</v>
      </c>
    </row>
    <row r="301">
      <c r="A301" s="2" t="n">
        <v>46354</v>
      </c>
      <c r="B301" t="inlineStr">
        <is>
          <t>Carla</t>
        </is>
      </c>
      <c r="C301" t="inlineStr">
        <is>
          <t>Sol Logística</t>
        </is>
      </c>
      <c r="D301" t="inlineStr">
        <is>
          <t>Norte</t>
        </is>
      </c>
      <c r="E301" t="inlineStr">
        <is>
          <t>Consultoría (hora)</t>
        </is>
      </c>
      <c r="F301" t="inlineStr">
        <is>
          <t>Servicios</t>
        </is>
      </c>
      <c r="G301" t="n">
        <v>1</v>
      </c>
      <c r="H301" s="3" t="n">
        <v>92.5</v>
      </c>
      <c r="I301" s="3" t="n">
        <v>60.1</v>
      </c>
      <c r="J301" s="3" t="n">
        <v>92.5</v>
      </c>
    </row>
    <row r="302">
      <c r="A302" s="2" t="n">
        <v>46340</v>
      </c>
      <c r="B302" t="inlineStr">
        <is>
          <t>Carla</t>
        </is>
      </c>
      <c r="C302" t="inlineStr">
        <is>
          <t>Andes Foods</t>
        </is>
      </c>
      <c r="D302" t="inlineStr">
        <is>
          <t>Norte</t>
        </is>
      </c>
      <c r="E302" t="inlineStr">
        <is>
          <t>Licencia anual</t>
        </is>
      </c>
      <c r="F302" t="inlineStr">
        <is>
          <t>Software</t>
        </is>
      </c>
      <c r="G302" t="n">
        <v>1</v>
      </c>
      <c r="H302" s="3" t="n">
        <v>415.25</v>
      </c>
      <c r="I302" s="3" t="n">
        <v>267.05</v>
      </c>
      <c r="J302" s="3" t="n">
        <v>415.25</v>
      </c>
    </row>
    <row r="303">
      <c r="A303" s="2" t="n">
        <v>46343</v>
      </c>
      <c r="B303" t="inlineStr">
        <is>
          <t>Jorge</t>
        </is>
      </c>
      <c r="C303" t="inlineStr">
        <is>
          <t>Nexo S.A.</t>
        </is>
      </c>
      <c r="D303" t="inlineStr">
        <is>
          <t>Norte</t>
        </is>
      </c>
      <c r="E303" t="inlineStr">
        <is>
          <t>Capacitación</t>
        </is>
      </c>
      <c r="F303" t="inlineStr">
        <is>
          <t>Formación</t>
        </is>
      </c>
      <c r="G303" t="n">
        <v>1</v>
      </c>
      <c r="H303" s="3" t="n">
        <v>346.3</v>
      </c>
      <c r="I303" s="3" t="n">
        <v>249.93</v>
      </c>
      <c r="J303" s="3" t="n">
        <v>346.3</v>
      </c>
    </row>
    <row r="304">
      <c r="A304" s="2" t="n">
        <v>46353</v>
      </c>
      <c r="B304" t="inlineStr">
        <is>
          <t>Luis</t>
        </is>
      </c>
      <c r="C304" t="inlineStr">
        <is>
          <t>Fénix Group</t>
        </is>
      </c>
      <c r="D304" t="inlineStr">
        <is>
          <t>Sur</t>
        </is>
      </c>
      <c r="E304" t="inlineStr">
        <is>
          <t>Licencia anual</t>
        </is>
      </c>
      <c r="F304" t="inlineStr">
        <is>
          <t>Software</t>
        </is>
      </c>
      <c r="G304" t="n">
        <v>1</v>
      </c>
      <c r="H304" s="3" t="n">
        <v>409.68</v>
      </c>
      <c r="I304" s="3" t="n">
        <v>250.15</v>
      </c>
      <c r="J304" s="3" t="n">
        <v>409.68</v>
      </c>
    </row>
    <row r="305">
      <c r="A305" s="2" t="n">
        <v>46348</v>
      </c>
      <c r="B305" t="inlineStr">
        <is>
          <t>Ana</t>
        </is>
      </c>
      <c r="C305" t="inlineStr">
        <is>
          <t>Kora Logística</t>
        </is>
      </c>
      <c r="D305" t="inlineStr">
        <is>
          <t>Centro</t>
        </is>
      </c>
      <c r="E305" t="inlineStr">
        <is>
          <t>Capacitación</t>
        </is>
      </c>
      <c r="F305" t="inlineStr">
        <is>
          <t>Formación</t>
        </is>
      </c>
      <c r="G305" t="n">
        <v>1</v>
      </c>
      <c r="H305" s="3" t="n">
        <v>292.54</v>
      </c>
      <c r="I305" s="3" t="n">
        <v>198.44</v>
      </c>
      <c r="J305" s="3" t="n">
        <v>292.54</v>
      </c>
    </row>
    <row r="306">
      <c r="A306" s="2" t="n">
        <v>46354</v>
      </c>
      <c r="B306" t="inlineStr">
        <is>
          <t>Ana</t>
        </is>
      </c>
      <c r="C306" t="inlineStr">
        <is>
          <t>Gama Tech</t>
        </is>
      </c>
      <c r="D306" t="inlineStr">
        <is>
          <t>Centro</t>
        </is>
      </c>
      <c r="E306" t="inlineStr">
        <is>
          <t>Soporte mensual</t>
        </is>
      </c>
      <c r="F306" t="inlineStr">
        <is>
          <t>Servicios</t>
        </is>
      </c>
      <c r="G306" t="n">
        <v>1</v>
      </c>
      <c r="H306" s="3" t="n">
        <v>272.64</v>
      </c>
      <c r="I306" s="3" t="n">
        <v>199.71</v>
      </c>
      <c r="J306" s="3" t="n">
        <v>272.64</v>
      </c>
    </row>
    <row r="307">
      <c r="A307" s="2" t="n">
        <v>46331</v>
      </c>
      <c r="B307" t="inlineStr">
        <is>
          <t>Ana</t>
        </is>
      </c>
      <c r="C307" t="inlineStr">
        <is>
          <t>Andes Comercial</t>
        </is>
      </c>
      <c r="D307" t="inlineStr">
        <is>
          <t>Centro</t>
        </is>
      </c>
      <c r="E307" t="inlineStr">
        <is>
          <t>Capacitación</t>
        </is>
      </c>
      <c r="F307" t="inlineStr">
        <is>
          <t>Formación</t>
        </is>
      </c>
      <c r="G307" t="n">
        <v>1</v>
      </c>
      <c r="H307" s="3" t="n">
        <v>301.14</v>
      </c>
      <c r="I307" s="3" t="n">
        <v>211.4</v>
      </c>
      <c r="J307" s="3" t="n">
        <v>301.14</v>
      </c>
    </row>
    <row r="308">
      <c r="A308" s="2" t="n">
        <v>46333</v>
      </c>
      <c r="B308" t="inlineStr">
        <is>
          <t>Luis</t>
        </is>
      </c>
      <c r="C308" t="inlineStr">
        <is>
          <t>Huaca S.A.</t>
        </is>
      </c>
      <c r="D308" t="inlineStr">
        <is>
          <t>Sur</t>
        </is>
      </c>
      <c r="E308" t="inlineStr">
        <is>
          <t>Soporte mensual</t>
        </is>
      </c>
      <c r="F308" t="inlineStr">
        <is>
          <t>Servicios</t>
        </is>
      </c>
      <c r="G308" t="n">
        <v>1</v>
      </c>
      <c r="H308" s="3" t="n">
        <v>255.92</v>
      </c>
      <c r="I308" s="3" t="n">
        <v>160.5</v>
      </c>
      <c r="J308" s="3" t="n">
        <v>255.92</v>
      </c>
    </row>
    <row r="309">
      <c r="A309" s="2" t="n">
        <v>46333</v>
      </c>
      <c r="B309" t="inlineStr">
        <is>
          <t>Jorge</t>
        </is>
      </c>
      <c r="C309" t="inlineStr">
        <is>
          <t>Andes Retail</t>
        </is>
      </c>
      <c r="D309" t="inlineStr">
        <is>
          <t>Centro</t>
        </is>
      </c>
      <c r="E309" t="inlineStr">
        <is>
          <t>Soporte mensual</t>
        </is>
      </c>
      <c r="F309" t="inlineStr">
        <is>
          <t>Servicios</t>
        </is>
      </c>
      <c r="G309" t="n">
        <v>1</v>
      </c>
      <c r="H309" s="3" t="n">
        <v>246.96</v>
      </c>
      <c r="I309" s="3" t="n">
        <v>174.29</v>
      </c>
      <c r="J309" s="3" t="n">
        <v>246.96</v>
      </c>
    </row>
    <row r="310">
      <c r="A310" s="2" t="n">
        <v>46353</v>
      </c>
      <c r="B310" t="inlineStr">
        <is>
          <t>Carla</t>
        </is>
      </c>
      <c r="C310" t="inlineStr">
        <is>
          <t>Andes Group</t>
        </is>
      </c>
      <c r="D310" t="inlineStr">
        <is>
          <t>Norte</t>
        </is>
      </c>
      <c r="E310" t="inlineStr">
        <is>
          <t>Licencia anual</t>
        </is>
      </c>
      <c r="F310" t="inlineStr">
        <is>
          <t>Software</t>
        </is>
      </c>
      <c r="G310" t="n">
        <v>1</v>
      </c>
      <c r="H310" s="3" t="n">
        <v>481.94</v>
      </c>
      <c r="I310" s="3" t="n">
        <v>309.9</v>
      </c>
      <c r="J310" s="3" t="n">
        <v>481.94</v>
      </c>
    </row>
    <row r="311">
      <c r="A311" s="2" t="n">
        <v>46334</v>
      </c>
      <c r="B311" t="inlineStr">
        <is>
          <t>Carla</t>
        </is>
      </c>
      <c r="C311" t="inlineStr">
        <is>
          <t>Tika S.A.</t>
        </is>
      </c>
      <c r="D311" t="inlineStr">
        <is>
          <t>Sur</t>
        </is>
      </c>
      <c r="E311" t="inlineStr">
        <is>
          <t>Consultoría (hora)</t>
        </is>
      </c>
      <c r="F311" t="inlineStr">
        <is>
          <t>Servicios</t>
        </is>
      </c>
      <c r="G311" t="n">
        <v>1</v>
      </c>
      <c r="H311" s="3" t="n">
        <v>98.14</v>
      </c>
      <c r="I311" s="3" t="n">
        <v>59.5</v>
      </c>
      <c r="J311" s="3" t="n">
        <v>98.14</v>
      </c>
    </row>
    <row r="312">
      <c r="A312" s="2" t="n">
        <v>46352</v>
      </c>
      <c r="B312" t="inlineStr">
        <is>
          <t>Carla</t>
        </is>
      </c>
      <c r="C312" t="inlineStr">
        <is>
          <t>Bahía S.A.</t>
        </is>
      </c>
      <c r="D312" t="inlineStr">
        <is>
          <t>Norte</t>
        </is>
      </c>
      <c r="E312" t="inlineStr">
        <is>
          <t>Soporte mensual</t>
        </is>
      </c>
      <c r="F312" t="inlineStr">
        <is>
          <t>Servicios</t>
        </is>
      </c>
      <c r="G312" t="n">
        <v>1</v>
      </c>
      <c r="H312" s="3" t="n">
        <v>234.85</v>
      </c>
      <c r="I312" s="3" t="n">
        <v>159.57</v>
      </c>
      <c r="J312" s="3" t="n">
        <v>234.85</v>
      </c>
    </row>
    <row r="313">
      <c r="A313" s="2" t="n">
        <v>46334</v>
      </c>
      <c r="B313" t="inlineStr">
        <is>
          <t>Jorge</t>
        </is>
      </c>
      <c r="C313" t="inlineStr">
        <is>
          <t>Jade S.A.C.</t>
        </is>
      </c>
      <c r="D313" t="inlineStr">
        <is>
          <t>Centro</t>
        </is>
      </c>
      <c r="E313" t="inlineStr">
        <is>
          <t>Licencia anual</t>
        </is>
      </c>
      <c r="F313" t="inlineStr">
        <is>
          <t>Software</t>
        </is>
      </c>
      <c r="G313" t="n">
        <v>1</v>
      </c>
      <c r="H313" s="3" t="n">
        <v>487.23</v>
      </c>
      <c r="I313" s="3" t="n">
        <v>310.4</v>
      </c>
      <c r="J313" s="3" t="n">
        <v>487.23</v>
      </c>
    </row>
    <row r="314">
      <c r="A314" s="2" t="n">
        <v>46335</v>
      </c>
      <c r="B314" t="inlineStr">
        <is>
          <t>Jorge</t>
        </is>
      </c>
      <c r="C314" t="inlineStr">
        <is>
          <t>Ola Group</t>
        </is>
      </c>
      <c r="D314" t="inlineStr">
        <is>
          <t>Centro</t>
        </is>
      </c>
      <c r="E314" t="inlineStr">
        <is>
          <t>Consultoría (hora)</t>
        </is>
      </c>
      <c r="F314" t="inlineStr">
        <is>
          <t>Servicios</t>
        </is>
      </c>
      <c r="G314" t="n">
        <v>1</v>
      </c>
      <c r="H314" s="3" t="n">
        <v>99.22</v>
      </c>
      <c r="I314" s="3" t="n">
        <v>63.58</v>
      </c>
      <c r="J314" s="3" t="n">
        <v>99.22</v>
      </c>
    </row>
    <row r="315">
      <c r="A315" s="2" t="n">
        <v>46349</v>
      </c>
      <c r="B315" t="inlineStr">
        <is>
          <t>Ana</t>
        </is>
      </c>
      <c r="C315" t="inlineStr">
        <is>
          <t>Fénix Comercial</t>
        </is>
      </c>
      <c r="D315" t="inlineStr">
        <is>
          <t>Norte</t>
        </is>
      </c>
      <c r="E315" t="inlineStr">
        <is>
          <t>Consultoría (hora)</t>
        </is>
      </c>
      <c r="F315" t="inlineStr">
        <is>
          <t>Servicios</t>
        </is>
      </c>
      <c r="G315" t="n">
        <v>1</v>
      </c>
      <c r="H315" s="3" t="n">
        <v>90.25</v>
      </c>
      <c r="I315" s="3" t="n">
        <v>56.3</v>
      </c>
      <c r="J315" s="3" t="n">
        <v>90.25</v>
      </c>
    </row>
    <row r="316">
      <c r="A316" s="2" t="n">
        <v>46333</v>
      </c>
      <c r="B316" t="inlineStr">
        <is>
          <t>Carla</t>
        </is>
      </c>
      <c r="C316" t="inlineStr">
        <is>
          <t>Jade Comercial</t>
        </is>
      </c>
      <c r="D316" t="inlineStr">
        <is>
          <t>Norte</t>
        </is>
      </c>
      <c r="E316" t="inlineStr">
        <is>
          <t>Licencia anual</t>
        </is>
      </c>
      <c r="F316" t="inlineStr">
        <is>
          <t>Software</t>
        </is>
      </c>
      <c r="G316" t="n">
        <v>1</v>
      </c>
      <c r="H316" s="3" t="n">
        <v>474.13</v>
      </c>
      <c r="I316" s="3" t="n">
        <v>354.45</v>
      </c>
      <c r="J316" s="3" t="n">
        <v>474.13</v>
      </c>
    </row>
    <row r="317">
      <c r="A317" s="2" t="n">
        <v>46338</v>
      </c>
      <c r="B317" t="inlineStr">
        <is>
          <t>Jorge</t>
        </is>
      </c>
      <c r="C317" t="inlineStr">
        <is>
          <t>Río S.A.</t>
        </is>
      </c>
      <c r="D317" t="inlineStr">
        <is>
          <t>Centro</t>
        </is>
      </c>
      <c r="E317" t="inlineStr">
        <is>
          <t>Capacitación</t>
        </is>
      </c>
      <c r="F317" t="inlineStr">
        <is>
          <t>Formación</t>
        </is>
      </c>
      <c r="G317" t="n">
        <v>1</v>
      </c>
      <c r="H317" s="3" t="n">
        <v>324.77</v>
      </c>
      <c r="I317" s="3" t="n">
        <v>197.31</v>
      </c>
      <c r="J317" s="3" t="n">
        <v>324.77</v>
      </c>
    </row>
    <row r="318">
      <c r="A318" s="2" t="n">
        <v>46347</v>
      </c>
      <c r="B318" t="inlineStr">
        <is>
          <t>Carla</t>
        </is>
      </c>
      <c r="C318" t="inlineStr">
        <is>
          <t>Ola Group</t>
        </is>
      </c>
      <c r="D318" t="inlineStr">
        <is>
          <t>Centro</t>
        </is>
      </c>
      <c r="E318" t="inlineStr">
        <is>
          <t>Capacitación</t>
        </is>
      </c>
      <c r="F318" t="inlineStr">
        <is>
          <t>Formación</t>
        </is>
      </c>
      <c r="G318" t="n">
        <v>1</v>
      </c>
      <c r="H318" s="3" t="n">
        <v>315.27</v>
      </c>
      <c r="I318" s="3" t="n">
        <v>199.52</v>
      </c>
      <c r="J318" s="3" t="n">
        <v>315.27</v>
      </c>
    </row>
    <row r="319">
      <c r="A319" s="2" t="n">
        <v>46330</v>
      </c>
      <c r="B319" t="inlineStr">
        <is>
          <t>Ana</t>
        </is>
      </c>
      <c r="C319" t="inlineStr">
        <is>
          <t>Huaca Servicios</t>
        </is>
      </c>
      <c r="D319" t="inlineStr">
        <is>
          <t>Centro</t>
        </is>
      </c>
      <c r="E319" t="inlineStr">
        <is>
          <t>Soporte mensual</t>
        </is>
      </c>
      <c r="F319" t="inlineStr">
        <is>
          <t>Servicios</t>
        </is>
      </c>
      <c r="G319" t="n">
        <v>1</v>
      </c>
      <c r="H319" s="3" t="n">
        <v>252.1</v>
      </c>
      <c r="I319" s="3" t="n">
        <v>177.95</v>
      </c>
      <c r="J319" s="3" t="n">
        <v>252.1</v>
      </c>
    </row>
    <row r="320">
      <c r="A320" s="2" t="n">
        <v>46327</v>
      </c>
      <c r="B320" t="inlineStr">
        <is>
          <t>Carla</t>
        </is>
      </c>
      <c r="C320" t="inlineStr">
        <is>
          <t>Lago Group</t>
        </is>
      </c>
      <c r="D320" t="inlineStr">
        <is>
          <t>Sur</t>
        </is>
      </c>
      <c r="E320" t="inlineStr">
        <is>
          <t>Licencia anual</t>
        </is>
      </c>
      <c r="F320" t="inlineStr">
        <is>
          <t>Software</t>
        </is>
      </c>
      <c r="G320" t="n">
        <v>1</v>
      </c>
      <c r="H320" s="3" t="n">
        <v>412.1</v>
      </c>
      <c r="I320" s="3" t="n">
        <v>305.77</v>
      </c>
      <c r="J320" s="3" t="n">
        <v>412.1</v>
      </c>
    </row>
    <row r="321">
      <c r="A321" s="2" t="n">
        <v>46327</v>
      </c>
      <c r="B321" t="inlineStr">
        <is>
          <t>Luis</t>
        </is>
      </c>
      <c r="C321" t="inlineStr">
        <is>
          <t>Puna Tech</t>
        </is>
      </c>
      <c r="D321" t="inlineStr">
        <is>
          <t>Sur</t>
        </is>
      </c>
      <c r="E321" t="inlineStr">
        <is>
          <t>Consultoría (hora)</t>
        </is>
      </c>
      <c r="F321" t="inlineStr">
        <is>
          <t>Servicios</t>
        </is>
      </c>
      <c r="G321" t="n">
        <v>1</v>
      </c>
      <c r="H321" s="3" t="n">
        <v>96.11</v>
      </c>
      <c r="I321" s="3" t="n">
        <v>67.61</v>
      </c>
      <c r="J321" s="3" t="n">
        <v>96.11</v>
      </c>
    </row>
    <row r="322">
      <c r="A322" s="2" t="n">
        <v>46330</v>
      </c>
      <c r="B322" t="inlineStr">
        <is>
          <t>Carla</t>
        </is>
      </c>
      <c r="C322" t="inlineStr">
        <is>
          <t>Puna Retail</t>
        </is>
      </c>
      <c r="D322" t="inlineStr">
        <is>
          <t>Norte</t>
        </is>
      </c>
      <c r="E322" t="inlineStr">
        <is>
          <t>Capacitación</t>
        </is>
      </c>
      <c r="F322" t="inlineStr">
        <is>
          <t>Formación</t>
        </is>
      </c>
      <c r="G322" t="n">
        <v>1</v>
      </c>
      <c r="H322" s="3" t="n">
        <v>346.78</v>
      </c>
      <c r="I322" s="3" t="n">
        <v>210.99</v>
      </c>
      <c r="J322" s="3" t="n">
        <v>346.78</v>
      </c>
    </row>
    <row r="323">
      <c r="A323" s="2" t="n">
        <v>46341</v>
      </c>
      <c r="B323" t="inlineStr">
        <is>
          <t>Luis</t>
        </is>
      </c>
      <c r="C323" t="inlineStr">
        <is>
          <t>Kora Servicios</t>
        </is>
      </c>
      <c r="D323" t="inlineStr">
        <is>
          <t>Norte</t>
        </is>
      </c>
      <c r="E323" t="inlineStr">
        <is>
          <t>Consultoría (hora)</t>
        </is>
      </c>
      <c r="F323" t="inlineStr">
        <is>
          <t>Servicios</t>
        </is>
      </c>
      <c r="G323" t="n">
        <v>1</v>
      </c>
      <c r="H323" s="3" t="n">
        <v>90.59999999999999</v>
      </c>
      <c r="I323" s="3" t="n">
        <v>65.59999999999999</v>
      </c>
      <c r="J323" s="3" t="n">
        <v>90.59999999999999</v>
      </c>
    </row>
    <row r="324">
      <c r="A324" s="2" t="n">
        <v>46329</v>
      </c>
      <c r="B324" t="inlineStr">
        <is>
          <t>Jorge</t>
        </is>
      </c>
      <c r="C324" t="inlineStr">
        <is>
          <t>Huaca S.A.</t>
        </is>
      </c>
      <c r="D324" t="inlineStr">
        <is>
          <t>Sur</t>
        </is>
      </c>
      <c r="E324" t="inlineStr">
        <is>
          <t>Capacitación</t>
        </is>
      </c>
      <c r="F324" t="inlineStr">
        <is>
          <t>Formación</t>
        </is>
      </c>
      <c r="G324" t="n">
        <v>1</v>
      </c>
      <c r="H324" s="3" t="n">
        <v>302.16</v>
      </c>
      <c r="I324" s="3" t="n">
        <v>184.18</v>
      </c>
      <c r="J324" s="3" t="n">
        <v>302.16</v>
      </c>
    </row>
    <row r="325">
      <c r="A325" s="2" t="n">
        <v>46334</v>
      </c>
      <c r="B325" t="inlineStr">
        <is>
          <t>Jorge</t>
        </is>
      </c>
      <c r="C325" t="inlineStr">
        <is>
          <t>Cóndor Retail</t>
        </is>
      </c>
      <c r="D325" t="inlineStr">
        <is>
          <t>Norte</t>
        </is>
      </c>
      <c r="E325" t="inlineStr">
        <is>
          <t>Consultoría (hora)</t>
        </is>
      </c>
      <c r="F325" t="inlineStr">
        <is>
          <t>Servicios</t>
        </is>
      </c>
      <c r="G325" t="n">
        <v>1</v>
      </c>
      <c r="H325" s="3" t="n">
        <v>89.69</v>
      </c>
      <c r="I325" s="3" t="n">
        <v>65.42</v>
      </c>
      <c r="J325" s="3" t="n">
        <v>89.69</v>
      </c>
    </row>
    <row r="326">
      <c r="A326" s="2" t="n">
        <v>46340</v>
      </c>
      <c r="B326" t="inlineStr">
        <is>
          <t>Jorge</t>
        </is>
      </c>
      <c r="C326" t="inlineStr">
        <is>
          <t>Quipu Tech</t>
        </is>
      </c>
      <c r="D326" t="inlineStr">
        <is>
          <t>Centro</t>
        </is>
      </c>
      <c r="E326" t="inlineStr">
        <is>
          <t>Soporte mensual</t>
        </is>
      </c>
      <c r="F326" t="inlineStr">
        <is>
          <t>Servicios</t>
        </is>
      </c>
      <c r="G326" t="n">
        <v>1</v>
      </c>
      <c r="H326" s="3" t="n">
        <v>237.33</v>
      </c>
      <c r="I326" s="3" t="n">
        <v>172.04</v>
      </c>
      <c r="J326" s="3" t="n">
        <v>237.33</v>
      </c>
    </row>
    <row r="327">
      <c r="A327" s="2" t="n">
        <v>46330</v>
      </c>
      <c r="B327" t="inlineStr">
        <is>
          <t>Luis</t>
        </is>
      </c>
      <c r="C327" t="inlineStr">
        <is>
          <t>Puna Foods</t>
        </is>
      </c>
      <c r="D327" t="inlineStr">
        <is>
          <t>Centro</t>
        </is>
      </c>
      <c r="E327" t="inlineStr">
        <is>
          <t>Licencia anual</t>
        </is>
      </c>
      <c r="F327" t="inlineStr">
        <is>
          <t>Software</t>
        </is>
      </c>
      <c r="G327" t="n">
        <v>1</v>
      </c>
      <c r="H327" s="3" t="n">
        <v>471.2</v>
      </c>
      <c r="I327" s="3" t="n">
        <v>349.27</v>
      </c>
      <c r="J327" s="3" t="n">
        <v>471.2</v>
      </c>
    </row>
    <row r="328">
      <c r="A328" s="2" t="n">
        <v>46345</v>
      </c>
      <c r="B328" t="inlineStr">
        <is>
          <t>Luis</t>
        </is>
      </c>
      <c r="C328" t="inlineStr">
        <is>
          <t>Jade Ltda.</t>
        </is>
      </c>
      <c r="D328" t="inlineStr">
        <is>
          <t>Norte</t>
        </is>
      </c>
      <c r="E328" t="inlineStr">
        <is>
          <t>Capacitación</t>
        </is>
      </c>
      <c r="F328" t="inlineStr">
        <is>
          <t>Formación</t>
        </is>
      </c>
      <c r="G328" t="n">
        <v>1</v>
      </c>
      <c r="H328" s="3" t="n">
        <v>342.33</v>
      </c>
      <c r="I328" s="3" t="n">
        <v>215.15</v>
      </c>
      <c r="J328" s="3" t="n">
        <v>342.33</v>
      </c>
    </row>
    <row r="329">
      <c r="A329" s="2" t="n">
        <v>46347</v>
      </c>
      <c r="B329" t="inlineStr">
        <is>
          <t>Luis</t>
        </is>
      </c>
      <c r="C329" t="inlineStr">
        <is>
          <t>Eco Retail</t>
        </is>
      </c>
      <c r="D329" t="inlineStr">
        <is>
          <t>Centro</t>
        </is>
      </c>
      <c r="E329" t="inlineStr">
        <is>
          <t>Consultoría (hora)</t>
        </is>
      </c>
      <c r="F329" t="inlineStr">
        <is>
          <t>Servicios</t>
        </is>
      </c>
      <c r="G329" t="n">
        <v>1</v>
      </c>
      <c r="H329" s="3" t="n">
        <v>98</v>
      </c>
      <c r="I329" s="3" t="n">
        <v>69.26000000000001</v>
      </c>
      <c r="J329" s="3" t="n">
        <v>98</v>
      </c>
    </row>
    <row r="330">
      <c r="A330" s="2" t="n">
        <v>46335</v>
      </c>
      <c r="B330" t="inlineStr">
        <is>
          <t>Jorge</t>
        </is>
      </c>
      <c r="C330" t="inlineStr">
        <is>
          <t>Jade Logística</t>
        </is>
      </c>
      <c r="D330" t="inlineStr">
        <is>
          <t>Sur</t>
        </is>
      </c>
      <c r="E330" t="inlineStr">
        <is>
          <t>Soporte mensual</t>
        </is>
      </c>
      <c r="F330" t="inlineStr">
        <is>
          <t>Servicios</t>
        </is>
      </c>
      <c r="G330" t="n">
        <v>1</v>
      </c>
      <c r="H330" s="3" t="n">
        <v>262.26</v>
      </c>
      <c r="I330" s="3" t="n">
        <v>184.45</v>
      </c>
      <c r="J330" s="3" t="n">
        <v>262.26</v>
      </c>
    </row>
    <row r="331">
      <c r="A331" s="2" t="n">
        <v>46344</v>
      </c>
      <c r="B331" t="inlineStr">
        <is>
          <t>Carla</t>
        </is>
      </c>
      <c r="C331" t="inlineStr">
        <is>
          <t>Eco Group</t>
        </is>
      </c>
      <c r="D331" t="inlineStr">
        <is>
          <t>Norte</t>
        </is>
      </c>
      <c r="E331" t="inlineStr">
        <is>
          <t>Soporte mensual</t>
        </is>
      </c>
      <c r="F331" t="inlineStr">
        <is>
          <t>Servicios</t>
        </is>
      </c>
      <c r="G331" t="n">
        <v>1</v>
      </c>
      <c r="H331" s="3" t="n">
        <v>243</v>
      </c>
      <c r="I331" s="3" t="n">
        <v>152.85</v>
      </c>
      <c r="J331" s="3" t="n">
        <v>243</v>
      </c>
    </row>
    <row r="332">
      <c r="A332" s="2" t="n">
        <v>46354</v>
      </c>
      <c r="B332" t="inlineStr">
        <is>
          <t>Ana</t>
        </is>
      </c>
      <c r="C332" t="inlineStr">
        <is>
          <t>Quipu Retail</t>
        </is>
      </c>
      <c r="D332" t="inlineStr">
        <is>
          <t>Norte</t>
        </is>
      </c>
      <c r="E332" t="inlineStr">
        <is>
          <t>Capacitación</t>
        </is>
      </c>
      <c r="F332" t="inlineStr">
        <is>
          <t>Formación</t>
        </is>
      </c>
      <c r="G332" t="n">
        <v>1</v>
      </c>
      <c r="H332" s="3" t="n">
        <v>300.4</v>
      </c>
      <c r="I332" s="3" t="n">
        <v>192.53</v>
      </c>
      <c r="J332" s="3" t="n">
        <v>300.4</v>
      </c>
    </row>
    <row r="333">
      <c r="A333" s="2" t="n">
        <v>46350</v>
      </c>
      <c r="B333" t="inlineStr">
        <is>
          <t>Ana</t>
        </is>
      </c>
      <c r="C333" t="inlineStr">
        <is>
          <t>Gama Tech</t>
        </is>
      </c>
      <c r="D333" t="inlineStr">
        <is>
          <t>Centro</t>
        </is>
      </c>
      <c r="E333" t="inlineStr">
        <is>
          <t>Capacitación</t>
        </is>
      </c>
      <c r="F333" t="inlineStr">
        <is>
          <t>Formación</t>
        </is>
      </c>
      <c r="G333" t="n">
        <v>1</v>
      </c>
      <c r="H333" s="3" t="n">
        <v>349.11</v>
      </c>
      <c r="I333" s="3" t="n">
        <v>228.78</v>
      </c>
      <c r="J333" s="3" t="n">
        <v>349.11</v>
      </c>
    </row>
    <row r="334">
      <c r="A334" s="2" t="n">
        <v>46341</v>
      </c>
      <c r="B334" t="inlineStr">
        <is>
          <t>Carla</t>
        </is>
      </c>
      <c r="C334" t="inlineStr">
        <is>
          <t>Mistura Comercial</t>
        </is>
      </c>
      <c r="D334" t="inlineStr">
        <is>
          <t>Centro</t>
        </is>
      </c>
      <c r="E334" t="inlineStr">
        <is>
          <t>Soporte mensual</t>
        </is>
      </c>
      <c r="F334" t="inlineStr">
        <is>
          <t>Servicios</t>
        </is>
      </c>
      <c r="G334" t="n">
        <v>1</v>
      </c>
      <c r="H334" s="3" t="n">
        <v>262.88</v>
      </c>
      <c r="I334" s="3" t="n">
        <v>182.45</v>
      </c>
      <c r="J334" s="3" t="n">
        <v>262.88</v>
      </c>
    </row>
    <row r="335">
      <c r="A335" s="2" t="n">
        <v>46346</v>
      </c>
      <c r="B335" t="inlineStr">
        <is>
          <t>Ana</t>
        </is>
      </c>
      <c r="C335" t="inlineStr">
        <is>
          <t>Eco Logística</t>
        </is>
      </c>
      <c r="D335" t="inlineStr">
        <is>
          <t>Centro</t>
        </is>
      </c>
      <c r="E335" t="inlineStr">
        <is>
          <t>Consultoría (hora)</t>
        </is>
      </c>
      <c r="F335" t="inlineStr">
        <is>
          <t>Servicios</t>
        </is>
      </c>
      <c r="G335" t="n">
        <v>1</v>
      </c>
      <c r="H335" s="3" t="n">
        <v>95.93000000000001</v>
      </c>
      <c r="I335" s="3" t="n">
        <v>70.31999999999999</v>
      </c>
      <c r="J335" s="3" t="n">
        <v>95.93000000000001</v>
      </c>
    </row>
    <row r="336">
      <c r="A336" s="2" t="n">
        <v>46340</v>
      </c>
      <c r="B336" t="inlineStr">
        <is>
          <t>Ana</t>
        </is>
      </c>
      <c r="C336" t="inlineStr">
        <is>
          <t>Delta Comercial</t>
        </is>
      </c>
      <c r="D336" t="inlineStr">
        <is>
          <t>Centro</t>
        </is>
      </c>
      <c r="E336" t="inlineStr">
        <is>
          <t>Licencia anual</t>
        </is>
      </c>
      <c r="F336" t="inlineStr">
        <is>
          <t>Software</t>
        </is>
      </c>
      <c r="G336" t="n">
        <v>1</v>
      </c>
      <c r="H336" s="3" t="n">
        <v>469.23</v>
      </c>
      <c r="I336" s="3" t="n">
        <v>310.66</v>
      </c>
      <c r="J336" s="3" t="n">
        <v>469.23</v>
      </c>
    </row>
    <row r="337">
      <c r="A337" s="2" t="n">
        <v>46341</v>
      </c>
      <c r="B337" t="inlineStr">
        <is>
          <t>Jorge</t>
        </is>
      </c>
      <c r="C337" t="inlineStr">
        <is>
          <t>Andes Servicios</t>
        </is>
      </c>
      <c r="D337" t="inlineStr">
        <is>
          <t>Centro</t>
        </is>
      </c>
      <c r="E337" t="inlineStr">
        <is>
          <t>Licencia anual</t>
        </is>
      </c>
      <c r="F337" t="inlineStr">
        <is>
          <t>Software</t>
        </is>
      </c>
      <c r="G337" t="n">
        <v>1</v>
      </c>
      <c r="H337" s="3" t="n">
        <v>452.84</v>
      </c>
      <c r="I337" s="3" t="n">
        <v>323.84</v>
      </c>
      <c r="J337" s="3" t="n">
        <v>452.84</v>
      </c>
    </row>
    <row r="338">
      <c r="A338" s="2" t="n">
        <v>46346</v>
      </c>
      <c r="B338" t="inlineStr">
        <is>
          <t>Carla</t>
        </is>
      </c>
      <c r="C338" t="inlineStr">
        <is>
          <t>Huaca Group</t>
        </is>
      </c>
      <c r="D338" t="inlineStr">
        <is>
          <t>Norte</t>
        </is>
      </c>
      <c r="E338" t="inlineStr">
        <is>
          <t>Consultoría (hora)</t>
        </is>
      </c>
      <c r="F338" t="inlineStr">
        <is>
          <t>Servicios</t>
        </is>
      </c>
      <c r="G338" t="n">
        <v>1</v>
      </c>
      <c r="H338" s="3" t="n">
        <v>96.66</v>
      </c>
      <c r="I338" s="3" t="n">
        <v>61.37</v>
      </c>
      <c r="J338" s="3" t="n">
        <v>96.66</v>
      </c>
    </row>
    <row r="339">
      <c r="A339" s="2" t="n">
        <v>46332</v>
      </c>
      <c r="B339" t="inlineStr">
        <is>
          <t>Ana</t>
        </is>
      </c>
      <c r="C339" t="inlineStr">
        <is>
          <t>Eco Group</t>
        </is>
      </c>
      <c r="D339" t="inlineStr">
        <is>
          <t>Norte</t>
        </is>
      </c>
      <c r="E339" t="inlineStr">
        <is>
          <t>Soporte mensual</t>
        </is>
      </c>
      <c r="F339" t="inlineStr">
        <is>
          <t>Servicios</t>
        </is>
      </c>
      <c r="G339" t="n">
        <v>1</v>
      </c>
      <c r="H339" s="3" t="n">
        <v>264.95</v>
      </c>
      <c r="I339" s="3" t="n">
        <v>192.83</v>
      </c>
      <c r="J339" s="3" t="n">
        <v>264.95</v>
      </c>
    </row>
    <row r="340">
      <c r="A340" s="2" t="n">
        <v>46345</v>
      </c>
      <c r="B340" t="inlineStr">
        <is>
          <t>Luis</t>
        </is>
      </c>
      <c r="C340" t="inlineStr">
        <is>
          <t>Ícaro Ltda.</t>
        </is>
      </c>
      <c r="D340" t="inlineStr">
        <is>
          <t>Centro</t>
        </is>
      </c>
      <c r="E340" t="inlineStr">
        <is>
          <t>Soporte mensual</t>
        </is>
      </c>
      <c r="F340" t="inlineStr">
        <is>
          <t>Servicios</t>
        </is>
      </c>
      <c r="G340" t="n">
        <v>1</v>
      </c>
      <c r="H340" s="3" t="n">
        <v>229.71</v>
      </c>
      <c r="I340" s="3" t="n">
        <v>142.77</v>
      </c>
      <c r="J340" s="3" t="n">
        <v>229.71</v>
      </c>
    </row>
    <row r="341">
      <c r="A341" s="2" t="n">
        <v>46330</v>
      </c>
      <c r="B341" t="inlineStr">
        <is>
          <t>Luis</t>
        </is>
      </c>
      <c r="C341" t="inlineStr">
        <is>
          <t>Nexo Import</t>
        </is>
      </c>
      <c r="D341" t="inlineStr">
        <is>
          <t>Centro</t>
        </is>
      </c>
      <c r="E341" t="inlineStr">
        <is>
          <t>Licencia anual</t>
        </is>
      </c>
      <c r="F341" t="inlineStr">
        <is>
          <t>Software</t>
        </is>
      </c>
      <c r="G341" t="n">
        <v>1</v>
      </c>
      <c r="H341" s="3" t="n">
        <v>486.91</v>
      </c>
      <c r="I341" s="3" t="n">
        <v>352.36</v>
      </c>
      <c r="J341" s="3" t="n">
        <v>486.91</v>
      </c>
    </row>
    <row r="342">
      <c r="A342" s="2" t="n">
        <v>46359</v>
      </c>
      <c r="B342" t="inlineStr">
        <is>
          <t>Ana</t>
        </is>
      </c>
      <c r="C342" t="inlineStr">
        <is>
          <t>Mistura Logística</t>
        </is>
      </c>
      <c r="D342" t="inlineStr">
        <is>
          <t>Norte</t>
        </is>
      </c>
      <c r="E342" t="inlineStr">
        <is>
          <t>Consultoría (hora)</t>
        </is>
      </c>
      <c r="F342" t="inlineStr">
        <is>
          <t>Servicios</t>
        </is>
      </c>
      <c r="G342" t="n">
        <v>1</v>
      </c>
      <c r="H342" s="3" t="n">
        <v>101.84</v>
      </c>
      <c r="I342" s="3" t="n">
        <v>72.88</v>
      </c>
      <c r="J342" s="3" t="n">
        <v>101.84</v>
      </c>
    </row>
    <row r="343">
      <c r="A343" s="2" t="n">
        <v>46369</v>
      </c>
      <c r="B343" t="inlineStr">
        <is>
          <t>Ana</t>
        </is>
      </c>
      <c r="C343" t="inlineStr">
        <is>
          <t>Río S.A.C.</t>
        </is>
      </c>
      <c r="D343" t="inlineStr">
        <is>
          <t>Norte</t>
        </is>
      </c>
      <c r="E343" t="inlineStr">
        <is>
          <t>Consultoría (hora)</t>
        </is>
      </c>
      <c r="F343" t="inlineStr">
        <is>
          <t>Servicios</t>
        </is>
      </c>
      <c r="G343" t="n">
        <v>1</v>
      </c>
      <c r="H343" s="3" t="n">
        <v>90.03</v>
      </c>
      <c r="I343" s="3" t="n">
        <v>62.57</v>
      </c>
      <c r="J343" s="3" t="n">
        <v>90.03</v>
      </c>
    </row>
    <row r="344">
      <c r="A344" s="2" t="n">
        <v>46363</v>
      </c>
      <c r="B344" t="inlineStr">
        <is>
          <t>Luis</t>
        </is>
      </c>
      <c r="C344" t="inlineStr">
        <is>
          <t>Fénix Tech</t>
        </is>
      </c>
      <c r="D344" t="inlineStr">
        <is>
          <t>Sur</t>
        </is>
      </c>
      <c r="E344" t="inlineStr">
        <is>
          <t>Soporte mensual</t>
        </is>
      </c>
      <c r="F344" t="inlineStr">
        <is>
          <t>Servicios</t>
        </is>
      </c>
      <c r="G344" t="n">
        <v>1</v>
      </c>
      <c r="H344" s="3" t="n">
        <v>269.57</v>
      </c>
      <c r="I344" s="3" t="n">
        <v>167.91</v>
      </c>
      <c r="J344" s="3" t="n">
        <v>269.57</v>
      </c>
    </row>
    <row r="345">
      <c r="A345" s="2" t="n">
        <v>46370</v>
      </c>
      <c r="B345" t="inlineStr">
        <is>
          <t>Ana</t>
        </is>
      </c>
      <c r="C345" t="inlineStr">
        <is>
          <t>Quipu Comercial</t>
        </is>
      </c>
      <c r="D345" t="inlineStr">
        <is>
          <t>Sur</t>
        </is>
      </c>
      <c r="E345" t="inlineStr">
        <is>
          <t>Licencia anual</t>
        </is>
      </c>
      <c r="F345" t="inlineStr">
        <is>
          <t>Software</t>
        </is>
      </c>
      <c r="G345" t="n">
        <v>1</v>
      </c>
      <c r="H345" s="3" t="n">
        <v>419.7</v>
      </c>
      <c r="I345" s="3" t="n">
        <v>312.38</v>
      </c>
      <c r="J345" s="3" t="n">
        <v>419.7</v>
      </c>
    </row>
    <row r="346">
      <c r="A346" s="2" t="n">
        <v>46376</v>
      </c>
      <c r="B346" t="inlineStr">
        <is>
          <t>Ana</t>
        </is>
      </c>
      <c r="C346" t="inlineStr">
        <is>
          <t>Nexo Tech</t>
        </is>
      </c>
      <c r="D346" t="inlineStr">
        <is>
          <t>Centro</t>
        </is>
      </c>
      <c r="E346" t="inlineStr">
        <is>
          <t>Soporte mensual</t>
        </is>
      </c>
      <c r="F346" t="inlineStr">
        <is>
          <t>Servicios</t>
        </is>
      </c>
      <c r="G346" t="n">
        <v>1</v>
      </c>
      <c r="H346" s="3" t="n">
        <v>235.89</v>
      </c>
      <c r="I346" s="3" t="n">
        <v>150.41</v>
      </c>
      <c r="J346" s="3" t="n">
        <v>235.89</v>
      </c>
    </row>
    <row r="347">
      <c r="A347" s="2" t="n">
        <v>46372</v>
      </c>
      <c r="B347" t="inlineStr">
        <is>
          <t>Jorge</t>
        </is>
      </c>
      <c r="C347" t="inlineStr">
        <is>
          <t>Kora Retail</t>
        </is>
      </c>
      <c r="D347" t="inlineStr">
        <is>
          <t>Sur</t>
        </is>
      </c>
      <c r="E347" t="inlineStr">
        <is>
          <t>Licencia anual</t>
        </is>
      </c>
      <c r="F347" t="inlineStr">
        <is>
          <t>Software</t>
        </is>
      </c>
      <c r="G347" t="n">
        <v>1</v>
      </c>
      <c r="H347" s="3" t="n">
        <v>422.64</v>
      </c>
      <c r="I347" s="3" t="n">
        <v>262.74</v>
      </c>
      <c r="J347" s="3" t="n">
        <v>422.64</v>
      </c>
    </row>
    <row r="348">
      <c r="A348" s="2" t="n">
        <v>46370</v>
      </c>
      <c r="B348" t="inlineStr">
        <is>
          <t>Luis</t>
        </is>
      </c>
      <c r="C348" t="inlineStr">
        <is>
          <t>Nexo Retail</t>
        </is>
      </c>
      <c r="D348" t="inlineStr">
        <is>
          <t>Centro</t>
        </is>
      </c>
      <c r="E348" t="inlineStr">
        <is>
          <t>Licencia anual</t>
        </is>
      </c>
      <c r="F348" t="inlineStr">
        <is>
          <t>Software</t>
        </is>
      </c>
      <c r="G348" t="n">
        <v>1</v>
      </c>
      <c r="H348" s="3" t="n">
        <v>483.44</v>
      </c>
      <c r="I348" s="3" t="n">
        <v>339.23</v>
      </c>
      <c r="J348" s="3" t="n">
        <v>483.44</v>
      </c>
    </row>
    <row r="349">
      <c r="A349" s="2" t="n">
        <v>46367</v>
      </c>
      <c r="B349" t="inlineStr">
        <is>
          <t>Ana</t>
        </is>
      </c>
      <c r="C349" t="inlineStr">
        <is>
          <t>Lago Ltda.</t>
        </is>
      </c>
      <c r="D349" t="inlineStr">
        <is>
          <t>Centro</t>
        </is>
      </c>
      <c r="E349" t="inlineStr">
        <is>
          <t>Soporte mensual</t>
        </is>
      </c>
      <c r="F349" t="inlineStr">
        <is>
          <t>Servicios</t>
        </is>
      </c>
      <c r="G349" t="n">
        <v>1</v>
      </c>
      <c r="H349" s="3" t="n">
        <v>230.02</v>
      </c>
      <c r="I349" s="3" t="n">
        <v>146.08</v>
      </c>
      <c r="J349" s="3" t="n">
        <v>230.02</v>
      </c>
    </row>
    <row r="350">
      <c r="A350" s="2" t="n">
        <v>46371</v>
      </c>
      <c r="B350" t="inlineStr">
        <is>
          <t>Carla</t>
        </is>
      </c>
      <c r="C350" t="inlineStr">
        <is>
          <t>Kora Retail</t>
        </is>
      </c>
      <c r="D350" t="inlineStr">
        <is>
          <t>Sur</t>
        </is>
      </c>
      <c r="E350" t="inlineStr">
        <is>
          <t>Consultoría (hora)</t>
        </is>
      </c>
      <c r="F350" t="inlineStr">
        <is>
          <t>Servicios</t>
        </is>
      </c>
      <c r="G350" t="n">
        <v>1</v>
      </c>
      <c r="H350" s="3" t="n">
        <v>93.62</v>
      </c>
      <c r="I350" s="3" t="n">
        <v>64.66</v>
      </c>
      <c r="J350" s="3" t="n">
        <v>93.62</v>
      </c>
    </row>
    <row r="351">
      <c r="A351" s="2" t="n">
        <v>46361</v>
      </c>
      <c r="B351" t="inlineStr">
        <is>
          <t>Luis</t>
        </is>
      </c>
      <c r="C351" t="inlineStr">
        <is>
          <t>Sol Tech</t>
        </is>
      </c>
      <c r="D351" t="inlineStr">
        <is>
          <t>Sur</t>
        </is>
      </c>
      <c r="E351" t="inlineStr">
        <is>
          <t>Soporte mensual</t>
        </is>
      </c>
      <c r="F351" t="inlineStr">
        <is>
          <t>Servicios</t>
        </is>
      </c>
      <c r="G351" t="n">
        <v>1</v>
      </c>
      <c r="H351" s="3" t="n">
        <v>272.55</v>
      </c>
      <c r="I351" s="3" t="n">
        <v>177.19</v>
      </c>
      <c r="J351" s="3" t="n">
        <v>272.55</v>
      </c>
    </row>
    <row r="352">
      <c r="A352" s="2" t="n">
        <v>46373</v>
      </c>
      <c r="B352" t="inlineStr">
        <is>
          <t>Jorge</t>
        </is>
      </c>
      <c r="C352" t="inlineStr">
        <is>
          <t>Ola Ltda.</t>
        </is>
      </c>
      <c r="D352" t="inlineStr">
        <is>
          <t>Norte</t>
        </is>
      </c>
      <c r="E352" t="inlineStr">
        <is>
          <t>Consultoría (hora)</t>
        </is>
      </c>
      <c r="F352" t="inlineStr">
        <is>
          <t>Servicios</t>
        </is>
      </c>
      <c r="G352" t="n">
        <v>1</v>
      </c>
      <c r="H352" s="3" t="n">
        <v>95.06999999999999</v>
      </c>
      <c r="I352" s="3" t="n">
        <v>69.06999999999999</v>
      </c>
      <c r="J352" s="3" t="n">
        <v>95.06999999999999</v>
      </c>
    </row>
    <row r="353">
      <c r="A353" s="2" t="n">
        <v>46374</v>
      </c>
      <c r="B353" t="inlineStr">
        <is>
          <t>Carla</t>
        </is>
      </c>
      <c r="C353" t="inlineStr">
        <is>
          <t>Kora Import</t>
        </is>
      </c>
      <c r="D353" t="inlineStr">
        <is>
          <t>Centro</t>
        </is>
      </c>
      <c r="E353" t="inlineStr">
        <is>
          <t>Soporte mensual</t>
        </is>
      </c>
      <c r="F353" t="inlineStr">
        <is>
          <t>Servicios</t>
        </is>
      </c>
      <c r="G353" t="n">
        <v>1</v>
      </c>
      <c r="H353" s="3" t="n">
        <v>262.47</v>
      </c>
      <c r="I353" s="3" t="n">
        <v>161.65</v>
      </c>
      <c r="J353" s="3" t="n">
        <v>262.47</v>
      </c>
    </row>
    <row r="354">
      <c r="A354" s="2" t="n">
        <v>46360</v>
      </c>
      <c r="B354" t="inlineStr">
        <is>
          <t>Carla</t>
        </is>
      </c>
      <c r="C354" t="inlineStr">
        <is>
          <t>Tika Tech</t>
        </is>
      </c>
      <c r="D354" t="inlineStr">
        <is>
          <t>Norte</t>
        </is>
      </c>
      <c r="E354" t="inlineStr">
        <is>
          <t>Soporte mensual</t>
        </is>
      </c>
      <c r="F354" t="inlineStr">
        <is>
          <t>Servicios</t>
        </is>
      </c>
      <c r="G354" t="n">
        <v>1</v>
      </c>
      <c r="H354" s="3" t="n">
        <v>241.2</v>
      </c>
      <c r="I354" s="3" t="n">
        <v>169.5</v>
      </c>
      <c r="J354" s="3" t="n">
        <v>241.2</v>
      </c>
    </row>
    <row r="355">
      <c r="A355" s="2" t="n">
        <v>46383</v>
      </c>
      <c r="B355" t="inlineStr">
        <is>
          <t>Ana</t>
        </is>
      </c>
      <c r="C355" t="inlineStr">
        <is>
          <t>Lago Ltda.</t>
        </is>
      </c>
      <c r="D355" t="inlineStr">
        <is>
          <t>Centro</t>
        </is>
      </c>
      <c r="E355" t="inlineStr">
        <is>
          <t>Licencia anual</t>
        </is>
      </c>
      <c r="F355" t="inlineStr">
        <is>
          <t>Software</t>
        </is>
      </c>
      <c r="G355" t="n">
        <v>1</v>
      </c>
      <c r="H355" s="3" t="n">
        <v>476.75</v>
      </c>
      <c r="I355" s="3" t="n">
        <v>301.83</v>
      </c>
      <c r="J355" s="3" t="n">
        <v>476.75</v>
      </c>
    </row>
    <row r="356">
      <c r="A356" s="2" t="n">
        <v>46367</v>
      </c>
      <c r="B356" t="inlineStr">
        <is>
          <t>Jorge</t>
        </is>
      </c>
      <c r="C356" t="inlineStr">
        <is>
          <t>Ícaro Group</t>
        </is>
      </c>
      <c r="D356" t="inlineStr">
        <is>
          <t>Norte</t>
        </is>
      </c>
      <c r="E356" t="inlineStr">
        <is>
          <t>Consultoría (hora)</t>
        </is>
      </c>
      <c r="F356" t="inlineStr">
        <is>
          <t>Servicios</t>
        </is>
      </c>
      <c r="G356" t="n">
        <v>1</v>
      </c>
      <c r="H356" s="3" t="n">
        <v>98.84999999999999</v>
      </c>
      <c r="I356" s="3" t="n">
        <v>62.33</v>
      </c>
      <c r="J356" s="3" t="n">
        <v>98.84999999999999</v>
      </c>
    </row>
    <row r="357">
      <c r="A357" s="2" t="n">
        <v>46360</v>
      </c>
      <c r="B357" t="inlineStr">
        <is>
          <t>Luis</t>
        </is>
      </c>
      <c r="C357" t="inlineStr">
        <is>
          <t>Eco Comercial</t>
        </is>
      </c>
      <c r="D357" t="inlineStr">
        <is>
          <t>Centro</t>
        </is>
      </c>
      <c r="E357" t="inlineStr">
        <is>
          <t>Consultoría (hora)</t>
        </is>
      </c>
      <c r="F357" t="inlineStr">
        <is>
          <t>Servicios</t>
        </is>
      </c>
      <c r="G357" t="n">
        <v>1</v>
      </c>
      <c r="H357" s="3" t="n">
        <v>102.91</v>
      </c>
      <c r="I357" s="3" t="n">
        <v>72.83</v>
      </c>
      <c r="J357" s="3" t="n">
        <v>102.91</v>
      </c>
    </row>
    <row r="358">
      <c r="A358" s="2" t="n">
        <v>46381</v>
      </c>
      <c r="B358" t="inlineStr">
        <is>
          <t>Carla</t>
        </is>
      </c>
      <c r="C358" t="inlineStr">
        <is>
          <t>Ola Ltda.</t>
        </is>
      </c>
      <c r="D358" t="inlineStr">
        <is>
          <t>Norte</t>
        </is>
      </c>
      <c r="E358" t="inlineStr">
        <is>
          <t>Licencia anual</t>
        </is>
      </c>
      <c r="F358" t="inlineStr">
        <is>
          <t>Software</t>
        </is>
      </c>
      <c r="G358" t="n">
        <v>1</v>
      </c>
      <c r="H358" s="3" t="n">
        <v>413.66</v>
      </c>
      <c r="I358" s="3" t="n">
        <v>304.81</v>
      </c>
      <c r="J358" s="3" t="n">
        <v>413.66</v>
      </c>
    </row>
    <row r="359">
      <c r="A359" s="2" t="n">
        <v>46370</v>
      </c>
      <c r="B359" t="inlineStr">
        <is>
          <t>Luis</t>
        </is>
      </c>
      <c r="C359" t="inlineStr">
        <is>
          <t>Bahía Ltda.</t>
        </is>
      </c>
      <c r="D359" t="inlineStr">
        <is>
          <t>Norte</t>
        </is>
      </c>
      <c r="E359" t="inlineStr">
        <is>
          <t>Consultoría (hora)</t>
        </is>
      </c>
      <c r="F359" t="inlineStr">
        <is>
          <t>Servicios</t>
        </is>
      </c>
      <c r="G359" t="n">
        <v>1</v>
      </c>
      <c r="H359" s="3" t="n">
        <v>94.55</v>
      </c>
      <c r="I359" s="3" t="n">
        <v>63.57</v>
      </c>
      <c r="J359" s="3" t="n">
        <v>94.55</v>
      </c>
    </row>
    <row r="360">
      <c r="A360" s="2" t="n">
        <v>46378</v>
      </c>
      <c r="B360" t="inlineStr">
        <is>
          <t>Ana</t>
        </is>
      </c>
      <c r="C360" t="inlineStr">
        <is>
          <t>Ola Servicios</t>
        </is>
      </c>
      <c r="D360" t="inlineStr">
        <is>
          <t>Centro</t>
        </is>
      </c>
      <c r="E360" t="inlineStr">
        <is>
          <t>Capacitación</t>
        </is>
      </c>
      <c r="F360" t="inlineStr">
        <is>
          <t>Formación</t>
        </is>
      </c>
      <c r="G360" t="n">
        <v>1</v>
      </c>
      <c r="H360" s="3" t="n">
        <v>339.89</v>
      </c>
      <c r="I360" s="3" t="n">
        <v>217.59</v>
      </c>
      <c r="J360" s="3" t="n">
        <v>339.89</v>
      </c>
    </row>
    <row r="361">
      <c r="A361" s="2" t="n">
        <v>46381</v>
      </c>
      <c r="B361" t="inlineStr">
        <is>
          <t>Luis</t>
        </is>
      </c>
      <c r="C361" t="inlineStr">
        <is>
          <t>Puna Retail</t>
        </is>
      </c>
      <c r="D361" t="inlineStr">
        <is>
          <t>Norte</t>
        </is>
      </c>
      <c r="E361" t="inlineStr">
        <is>
          <t>Consultoría (hora)</t>
        </is>
      </c>
      <c r="F361" t="inlineStr">
        <is>
          <t>Servicios</t>
        </is>
      </c>
      <c r="G361" t="n">
        <v>1</v>
      </c>
      <c r="H361" s="3" t="n">
        <v>98.16</v>
      </c>
      <c r="I361" s="3" t="n">
        <v>61.29</v>
      </c>
      <c r="J361" s="3" t="n">
        <v>98.16</v>
      </c>
    </row>
    <row r="362">
      <c r="A362" s="2" t="n">
        <v>46379</v>
      </c>
      <c r="B362" t="inlineStr">
        <is>
          <t>Luis</t>
        </is>
      </c>
      <c r="C362" t="inlineStr">
        <is>
          <t>Río Logística</t>
        </is>
      </c>
      <c r="D362" t="inlineStr">
        <is>
          <t>Centro</t>
        </is>
      </c>
      <c r="E362" t="inlineStr">
        <is>
          <t>Capacitación</t>
        </is>
      </c>
      <c r="F362" t="inlineStr">
        <is>
          <t>Formación</t>
        </is>
      </c>
      <c r="G362" t="n">
        <v>1</v>
      </c>
      <c r="H362" s="3" t="n">
        <v>294.74</v>
      </c>
      <c r="I362" s="3" t="n">
        <v>203.46</v>
      </c>
      <c r="J362" s="3" t="n">
        <v>294.74</v>
      </c>
    </row>
    <row r="363">
      <c r="A363" s="2" t="n">
        <v>46361</v>
      </c>
      <c r="B363" t="inlineStr">
        <is>
          <t>Carla</t>
        </is>
      </c>
      <c r="C363" t="inlineStr">
        <is>
          <t>Ola Group</t>
        </is>
      </c>
      <c r="D363" t="inlineStr">
        <is>
          <t>Centro</t>
        </is>
      </c>
      <c r="E363" t="inlineStr">
        <is>
          <t>Consultoría (hora)</t>
        </is>
      </c>
      <c r="F363" t="inlineStr">
        <is>
          <t>Servicios</t>
        </is>
      </c>
      <c r="G363" t="n">
        <v>1</v>
      </c>
      <c r="H363" s="3" t="n">
        <v>103.95</v>
      </c>
      <c r="I363" s="3" t="n">
        <v>75.42</v>
      </c>
      <c r="J363" s="3" t="n">
        <v>103.95</v>
      </c>
    </row>
    <row r="364">
      <c r="A364" s="2" t="n">
        <v>46369</v>
      </c>
      <c r="B364" t="inlineStr">
        <is>
          <t>Luis</t>
        </is>
      </c>
      <c r="C364" t="inlineStr">
        <is>
          <t>Delta Servicios</t>
        </is>
      </c>
      <c r="D364" t="inlineStr">
        <is>
          <t>Centro</t>
        </is>
      </c>
      <c r="E364" t="inlineStr">
        <is>
          <t>Licencia anual</t>
        </is>
      </c>
      <c r="F364" t="inlineStr">
        <is>
          <t>Software</t>
        </is>
      </c>
      <c r="G364" t="n">
        <v>1</v>
      </c>
      <c r="H364" s="3" t="n">
        <v>450.32</v>
      </c>
      <c r="I364" s="3" t="n">
        <v>276.45</v>
      </c>
      <c r="J364" s="3" t="n">
        <v>450.32</v>
      </c>
    </row>
    <row r="365">
      <c r="A365" s="2" t="n">
        <v>46364</v>
      </c>
      <c r="B365" t="inlineStr">
        <is>
          <t>Ana</t>
        </is>
      </c>
      <c r="C365" t="inlineStr">
        <is>
          <t>Lago Tech</t>
        </is>
      </c>
      <c r="D365" t="inlineStr">
        <is>
          <t>Norte</t>
        </is>
      </c>
      <c r="E365" t="inlineStr">
        <is>
          <t>Soporte mensual</t>
        </is>
      </c>
      <c r="F365" t="inlineStr">
        <is>
          <t>Servicios</t>
        </is>
      </c>
      <c r="G365" t="n">
        <v>1</v>
      </c>
      <c r="H365" s="3" t="n">
        <v>263.16</v>
      </c>
      <c r="I365" s="3" t="n">
        <v>159.31</v>
      </c>
      <c r="J365" s="3" t="n">
        <v>263.16</v>
      </c>
    </row>
    <row r="366">
      <c r="A366" s="2" t="n">
        <v>46366</v>
      </c>
      <c r="B366" t="inlineStr">
        <is>
          <t>Carla</t>
        </is>
      </c>
      <c r="C366" t="inlineStr">
        <is>
          <t>Nexo Retail</t>
        </is>
      </c>
      <c r="D366" t="inlineStr">
        <is>
          <t>Centro</t>
        </is>
      </c>
      <c r="E366" t="inlineStr">
        <is>
          <t>Capacitación</t>
        </is>
      </c>
      <c r="F366" t="inlineStr">
        <is>
          <t>Formación</t>
        </is>
      </c>
      <c r="G366" t="n">
        <v>1</v>
      </c>
      <c r="H366" s="3" t="n">
        <v>319.25</v>
      </c>
      <c r="I366" s="3" t="n">
        <v>192.22</v>
      </c>
      <c r="J366" s="3" t="n">
        <v>319.25</v>
      </c>
    </row>
    <row r="367">
      <c r="A367" s="2" t="n">
        <v>46357</v>
      </c>
      <c r="B367" t="inlineStr">
        <is>
          <t>Ana</t>
        </is>
      </c>
      <c r="C367" t="inlineStr">
        <is>
          <t>Tika Logística</t>
        </is>
      </c>
      <c r="D367" t="inlineStr">
        <is>
          <t>Sur</t>
        </is>
      </c>
      <c r="E367" t="inlineStr">
        <is>
          <t>Licencia anual</t>
        </is>
      </c>
      <c r="F367" t="inlineStr">
        <is>
          <t>Software</t>
        </is>
      </c>
      <c r="G367" t="n">
        <v>1</v>
      </c>
      <c r="H367" s="3" t="n">
        <v>457.33</v>
      </c>
      <c r="I367" s="3" t="n">
        <v>298.72</v>
      </c>
      <c r="J367" s="3" t="n">
        <v>457.33</v>
      </c>
    </row>
    <row r="368">
      <c r="A368" s="2" t="n">
        <v>46375</v>
      </c>
      <c r="B368" t="inlineStr">
        <is>
          <t>Luis</t>
        </is>
      </c>
      <c r="C368" t="inlineStr">
        <is>
          <t>Ícaro Tech</t>
        </is>
      </c>
      <c r="D368" t="inlineStr">
        <is>
          <t>Sur</t>
        </is>
      </c>
      <c r="E368" t="inlineStr">
        <is>
          <t>Soporte mensual</t>
        </is>
      </c>
      <c r="F368" t="inlineStr">
        <is>
          <t>Servicios</t>
        </is>
      </c>
      <c r="G368" t="n">
        <v>1</v>
      </c>
      <c r="H368" s="3" t="n">
        <v>231.53</v>
      </c>
      <c r="I368" s="3" t="n">
        <v>140.2</v>
      </c>
      <c r="J368" s="3" t="n">
        <v>231.53</v>
      </c>
    </row>
    <row r="369">
      <c r="A369" s="2" t="n">
        <v>46378</v>
      </c>
      <c r="B369" t="inlineStr">
        <is>
          <t>Jorge</t>
        </is>
      </c>
      <c r="C369" t="inlineStr">
        <is>
          <t>Ola Ltda.</t>
        </is>
      </c>
      <c r="D369" t="inlineStr">
        <is>
          <t>Norte</t>
        </is>
      </c>
      <c r="E369" t="inlineStr">
        <is>
          <t>Capacitación</t>
        </is>
      </c>
      <c r="F369" t="inlineStr">
        <is>
          <t>Formación</t>
        </is>
      </c>
      <c r="G369" t="n">
        <v>1</v>
      </c>
      <c r="H369" s="3" t="n">
        <v>294.79</v>
      </c>
      <c r="I369" s="3" t="n">
        <v>207.32</v>
      </c>
      <c r="J369" s="3" t="n">
        <v>294.79</v>
      </c>
    </row>
    <row r="370">
      <c r="A370" s="2" t="n">
        <v>46377</v>
      </c>
      <c r="B370" t="inlineStr">
        <is>
          <t>Jorge</t>
        </is>
      </c>
      <c r="C370" t="inlineStr">
        <is>
          <t>Tika Retail</t>
        </is>
      </c>
      <c r="D370" t="inlineStr">
        <is>
          <t>Sur</t>
        </is>
      </c>
      <c r="E370" t="inlineStr">
        <is>
          <t>Consultoría (hora)</t>
        </is>
      </c>
      <c r="F370" t="inlineStr">
        <is>
          <t>Servicios</t>
        </is>
      </c>
      <c r="G370" t="n">
        <v>1</v>
      </c>
      <c r="H370" s="3" t="n">
        <v>104.1</v>
      </c>
      <c r="I370" s="3" t="n">
        <v>64.09999999999999</v>
      </c>
      <c r="J370" s="3" t="n">
        <v>104.1</v>
      </c>
    </row>
    <row r="371">
      <c r="A371" s="2" t="n">
        <v>46372</v>
      </c>
      <c r="B371" t="inlineStr">
        <is>
          <t>Carla</t>
        </is>
      </c>
      <c r="C371" t="inlineStr">
        <is>
          <t>Río Logística</t>
        </is>
      </c>
      <c r="D371" t="inlineStr">
        <is>
          <t>Centro</t>
        </is>
      </c>
      <c r="E371" t="inlineStr">
        <is>
          <t>Soporte mensual</t>
        </is>
      </c>
      <c r="F371" t="inlineStr">
        <is>
          <t>Servicios</t>
        </is>
      </c>
      <c r="G371" t="n">
        <v>1</v>
      </c>
      <c r="H371" s="3" t="n">
        <v>258.01</v>
      </c>
      <c r="I371" s="3" t="n">
        <v>160.16</v>
      </c>
      <c r="J371" s="3" t="n">
        <v>258.01</v>
      </c>
    </row>
    <row r="372">
      <c r="A372" s="2" t="n">
        <v>46380</v>
      </c>
      <c r="B372" t="inlineStr">
        <is>
          <t>Jorge</t>
        </is>
      </c>
      <c r="C372" t="inlineStr">
        <is>
          <t>Jade Tech</t>
        </is>
      </c>
      <c r="D372" t="inlineStr">
        <is>
          <t>Centro</t>
        </is>
      </c>
      <c r="E372" t="inlineStr">
        <is>
          <t>Consultoría (hora)</t>
        </is>
      </c>
      <c r="F372" t="inlineStr">
        <is>
          <t>Servicios</t>
        </is>
      </c>
      <c r="G372" t="n">
        <v>1</v>
      </c>
      <c r="H372" s="3" t="n">
        <v>92.47</v>
      </c>
      <c r="I372" s="3" t="n">
        <v>60.25</v>
      </c>
      <c r="J372" s="3" t="n">
        <v>92.47</v>
      </c>
    </row>
    <row r="373">
      <c r="A373" s="2" t="n">
        <v>46384</v>
      </c>
      <c r="B373" t="inlineStr">
        <is>
          <t>Carla</t>
        </is>
      </c>
      <c r="C373" t="inlineStr">
        <is>
          <t>Nexo S.A.C.</t>
        </is>
      </c>
      <c r="D373" t="inlineStr">
        <is>
          <t>Norte</t>
        </is>
      </c>
      <c r="E373" t="inlineStr">
        <is>
          <t>Capacitación</t>
        </is>
      </c>
      <c r="F373" t="inlineStr">
        <is>
          <t>Formación</t>
        </is>
      </c>
      <c r="G373" t="n">
        <v>1</v>
      </c>
      <c r="H373" s="3" t="n">
        <v>314.37</v>
      </c>
      <c r="I373" s="3" t="n">
        <v>195.03</v>
      </c>
      <c r="J373" s="3" t="n">
        <v>314.37</v>
      </c>
    </row>
    <row r="374">
      <c r="A374" s="2" t="n">
        <v>46357</v>
      </c>
      <c r="B374" t="inlineStr">
        <is>
          <t>Jorge</t>
        </is>
      </c>
      <c r="C374" t="inlineStr">
        <is>
          <t>Lago Retail</t>
        </is>
      </c>
      <c r="D374" t="inlineStr">
        <is>
          <t>Norte</t>
        </is>
      </c>
      <c r="E374" t="inlineStr">
        <is>
          <t>Capacitación</t>
        </is>
      </c>
      <c r="F374" t="inlineStr">
        <is>
          <t>Formación</t>
        </is>
      </c>
      <c r="G374" t="n">
        <v>1</v>
      </c>
      <c r="H374" s="3" t="n">
        <v>290.92</v>
      </c>
      <c r="I374" s="3" t="n">
        <v>178.57</v>
      </c>
      <c r="J374" s="3" t="n">
        <v>290.92</v>
      </c>
    </row>
    <row r="375">
      <c r="A375" s="2" t="n">
        <v>46382</v>
      </c>
      <c r="B375" t="inlineStr">
        <is>
          <t>Ana</t>
        </is>
      </c>
      <c r="C375" t="inlineStr">
        <is>
          <t>Quipu S.A.C.</t>
        </is>
      </c>
      <c r="D375" t="inlineStr">
        <is>
          <t>Centro</t>
        </is>
      </c>
      <c r="E375" t="inlineStr">
        <is>
          <t>Soporte mensual</t>
        </is>
      </c>
      <c r="F375" t="inlineStr">
        <is>
          <t>Servicios</t>
        </is>
      </c>
      <c r="G375" t="n">
        <v>1</v>
      </c>
      <c r="H375" s="3" t="n">
        <v>234.92</v>
      </c>
      <c r="I375" s="3" t="n">
        <v>158.55</v>
      </c>
      <c r="J375" s="3" t="n">
        <v>234.92</v>
      </c>
    </row>
    <row r="376">
      <c r="A376" s="2" t="n">
        <v>46366</v>
      </c>
      <c r="B376" t="inlineStr">
        <is>
          <t>Ana</t>
        </is>
      </c>
      <c r="C376" t="inlineStr">
        <is>
          <t>Bahía Tech</t>
        </is>
      </c>
      <c r="D376" t="inlineStr">
        <is>
          <t>Norte</t>
        </is>
      </c>
      <c r="E376" t="inlineStr">
        <is>
          <t>Capacitación</t>
        </is>
      </c>
      <c r="F376" t="inlineStr">
        <is>
          <t>Formación</t>
        </is>
      </c>
      <c r="G376" t="n">
        <v>1</v>
      </c>
      <c r="H376" s="3" t="n">
        <v>341.8</v>
      </c>
      <c r="I376" s="3" t="n">
        <v>209.66</v>
      </c>
      <c r="J376" s="3" t="n">
        <v>341.8</v>
      </c>
    </row>
    <row r="377">
      <c r="A377" s="2" t="n">
        <v>46381</v>
      </c>
      <c r="B377" t="inlineStr">
        <is>
          <t>Luis</t>
        </is>
      </c>
      <c r="C377" t="inlineStr">
        <is>
          <t>Fénix Group</t>
        </is>
      </c>
      <c r="D377" t="inlineStr">
        <is>
          <t>Sur</t>
        </is>
      </c>
      <c r="E377" t="inlineStr">
        <is>
          <t>Consultoría (hora)</t>
        </is>
      </c>
      <c r="F377" t="inlineStr">
        <is>
          <t>Servicios</t>
        </is>
      </c>
      <c r="G377" t="n">
        <v>1</v>
      </c>
      <c r="H377" s="3" t="n">
        <v>98.67</v>
      </c>
      <c r="I377" s="3" t="n">
        <v>72.90000000000001</v>
      </c>
      <c r="J377" s="3" t="n">
        <v>98.67</v>
      </c>
    </row>
    <row r="378">
      <c r="A378" s="2" t="n">
        <v>46359</v>
      </c>
      <c r="B378" t="inlineStr">
        <is>
          <t>Carla</t>
        </is>
      </c>
      <c r="C378" t="inlineStr">
        <is>
          <t>Lago Import</t>
        </is>
      </c>
      <c r="D378" t="inlineStr">
        <is>
          <t>Centro</t>
        </is>
      </c>
      <c r="E378" t="inlineStr">
        <is>
          <t>Soporte mensual</t>
        </is>
      </c>
      <c r="F378" t="inlineStr">
        <is>
          <t>Servicios</t>
        </is>
      </c>
      <c r="G378" t="n">
        <v>1</v>
      </c>
      <c r="H378" s="3" t="n">
        <v>256.66</v>
      </c>
      <c r="I378" s="3" t="n">
        <v>164.57</v>
      </c>
      <c r="J378" s="3" t="n">
        <v>256.66</v>
      </c>
    </row>
    <row r="379">
      <c r="A379" s="2" t="n">
        <v>46367</v>
      </c>
      <c r="B379" t="inlineStr">
        <is>
          <t>Luis</t>
        </is>
      </c>
      <c r="C379" t="inlineStr">
        <is>
          <t>Mistura Comercial</t>
        </is>
      </c>
      <c r="D379" t="inlineStr">
        <is>
          <t>Centro</t>
        </is>
      </c>
      <c r="E379" t="inlineStr">
        <is>
          <t>Consultoría (hora)</t>
        </is>
      </c>
      <c r="F379" t="inlineStr">
        <is>
          <t>Servicios</t>
        </is>
      </c>
      <c r="G379" t="n">
        <v>1</v>
      </c>
      <c r="H379" s="3" t="n">
        <v>103.53</v>
      </c>
      <c r="I379" s="3" t="n">
        <v>62.57</v>
      </c>
      <c r="J379" s="3" t="n">
        <v>103.53</v>
      </c>
    </row>
    <row r="380">
      <c r="A380" s="2" t="n">
        <v>46364</v>
      </c>
      <c r="B380" t="inlineStr">
        <is>
          <t>Ana</t>
        </is>
      </c>
      <c r="C380" t="inlineStr">
        <is>
          <t>Mistura Servicios</t>
        </is>
      </c>
      <c r="D380" t="inlineStr">
        <is>
          <t>Centro</t>
        </is>
      </c>
      <c r="E380" t="inlineStr">
        <is>
          <t>Soporte mensual</t>
        </is>
      </c>
      <c r="F380" t="inlineStr">
        <is>
          <t>Servicios</t>
        </is>
      </c>
      <c r="G380" t="n">
        <v>1</v>
      </c>
      <c r="H380" s="3" t="n">
        <v>231.54</v>
      </c>
      <c r="I380" s="3" t="n">
        <v>141.14</v>
      </c>
      <c r="J380" s="3" t="n">
        <v>231.54</v>
      </c>
    </row>
    <row r="381">
      <c r="A381" s="2" t="n">
        <v>46358</v>
      </c>
      <c r="B381" t="inlineStr">
        <is>
          <t>Luis</t>
        </is>
      </c>
      <c r="C381" t="inlineStr">
        <is>
          <t>Río Foods</t>
        </is>
      </c>
      <c r="D381" t="inlineStr">
        <is>
          <t>Centro</t>
        </is>
      </c>
      <c r="E381" t="inlineStr">
        <is>
          <t>Capacitación</t>
        </is>
      </c>
      <c r="F381" t="inlineStr">
        <is>
          <t>Formación</t>
        </is>
      </c>
      <c r="G381" t="n">
        <v>1</v>
      </c>
      <c r="H381" s="3" t="n">
        <v>344.49</v>
      </c>
      <c r="I381" s="3" t="n">
        <v>223.38</v>
      </c>
      <c r="J381" s="3" t="n">
        <v>344.49</v>
      </c>
    </row>
    <row r="382">
      <c r="A382" s="2" t="n">
        <v>46365</v>
      </c>
      <c r="B382" t="inlineStr">
        <is>
          <t>Jorge</t>
        </is>
      </c>
      <c r="C382" t="inlineStr">
        <is>
          <t>Nexo Foods</t>
        </is>
      </c>
      <c r="D382" t="inlineStr">
        <is>
          <t>Centro</t>
        </is>
      </c>
      <c r="E382" t="inlineStr">
        <is>
          <t>Consultoría (hora)</t>
        </is>
      </c>
      <c r="F382" t="inlineStr">
        <is>
          <t>Servicios</t>
        </is>
      </c>
      <c r="G382" t="n">
        <v>1</v>
      </c>
      <c r="H382" s="3" t="n">
        <v>89.83</v>
      </c>
      <c r="I382" s="3" t="n">
        <v>59.61</v>
      </c>
      <c r="J382" s="3" t="n">
        <v>89.83</v>
      </c>
    </row>
    <row r="383">
      <c r="A383" s="2" t="n">
        <v>46373</v>
      </c>
      <c r="B383" t="inlineStr">
        <is>
          <t>Jorge</t>
        </is>
      </c>
      <c r="C383" t="inlineStr">
        <is>
          <t>Mistura S.A.</t>
        </is>
      </c>
      <c r="D383" t="inlineStr">
        <is>
          <t>Sur</t>
        </is>
      </c>
      <c r="E383" t="inlineStr">
        <is>
          <t>Licencia anual</t>
        </is>
      </c>
      <c r="F383" t="inlineStr">
        <is>
          <t>Software</t>
        </is>
      </c>
      <c r="G383" t="n">
        <v>1</v>
      </c>
      <c r="H383" s="3" t="n">
        <v>416.28</v>
      </c>
      <c r="I383" s="3" t="n">
        <v>312.18</v>
      </c>
      <c r="J383" s="3" t="n">
        <v>416.28</v>
      </c>
    </row>
    <row r="384">
      <c r="A384" s="2" t="n">
        <v>46359</v>
      </c>
      <c r="B384" t="inlineStr">
        <is>
          <t>Luis</t>
        </is>
      </c>
      <c r="C384" t="inlineStr">
        <is>
          <t>Huaca Foods</t>
        </is>
      </c>
      <c r="D384" t="inlineStr">
        <is>
          <t>Centro</t>
        </is>
      </c>
      <c r="E384" t="inlineStr">
        <is>
          <t>Consultoría (hora)</t>
        </is>
      </c>
      <c r="F384" t="inlineStr">
        <is>
          <t>Servicios</t>
        </is>
      </c>
      <c r="G384" t="n">
        <v>1</v>
      </c>
      <c r="H384" s="3" t="n">
        <v>101.92</v>
      </c>
      <c r="I384" s="3" t="n">
        <v>68.64</v>
      </c>
      <c r="J384" s="3" t="n">
        <v>101.92</v>
      </c>
    </row>
    <row r="385">
      <c r="A385" s="2" t="n">
        <v>46375</v>
      </c>
      <c r="B385" t="inlineStr">
        <is>
          <t>Luis</t>
        </is>
      </c>
      <c r="C385" t="inlineStr">
        <is>
          <t>Gama Logística</t>
        </is>
      </c>
      <c r="D385" t="inlineStr">
        <is>
          <t>Centro</t>
        </is>
      </c>
      <c r="E385" t="inlineStr">
        <is>
          <t>Soporte mensual</t>
        </is>
      </c>
      <c r="F385" t="inlineStr">
        <is>
          <t>Servicios</t>
        </is>
      </c>
      <c r="G385" t="n">
        <v>1</v>
      </c>
      <c r="H385" s="3" t="n">
        <v>229.63</v>
      </c>
      <c r="I385" s="3" t="n">
        <v>158.52</v>
      </c>
      <c r="J385" s="3" t="n">
        <v>229.63</v>
      </c>
    </row>
    <row r="386">
      <c r="A386" s="2" t="n">
        <v>46370</v>
      </c>
      <c r="B386" t="inlineStr">
        <is>
          <t>Carla</t>
        </is>
      </c>
      <c r="C386" t="inlineStr">
        <is>
          <t>Tika Logística</t>
        </is>
      </c>
      <c r="D386" t="inlineStr">
        <is>
          <t>Sur</t>
        </is>
      </c>
      <c r="E386" t="inlineStr">
        <is>
          <t>Soporte mensual</t>
        </is>
      </c>
      <c r="F386" t="inlineStr">
        <is>
          <t>Servicios</t>
        </is>
      </c>
      <c r="G386" t="n">
        <v>1</v>
      </c>
      <c r="H386" s="3" t="n">
        <v>238.66</v>
      </c>
      <c r="I386" s="3" t="n">
        <v>164.56</v>
      </c>
      <c r="J386" s="3" t="n">
        <v>238.66</v>
      </c>
    </row>
    <row r="387">
      <c r="A387" s="2" t="n">
        <v>46375</v>
      </c>
      <c r="B387" t="inlineStr">
        <is>
          <t>Luis</t>
        </is>
      </c>
      <c r="C387" t="inlineStr">
        <is>
          <t>Río Ltda.</t>
        </is>
      </c>
      <c r="D387" t="inlineStr">
        <is>
          <t>Sur</t>
        </is>
      </c>
      <c r="E387" t="inlineStr">
        <is>
          <t>Licencia anual</t>
        </is>
      </c>
      <c r="F387" t="inlineStr">
        <is>
          <t>Software</t>
        </is>
      </c>
      <c r="G387" t="n">
        <v>1</v>
      </c>
      <c r="H387" s="3" t="n">
        <v>452.92</v>
      </c>
      <c r="I387" s="3" t="n">
        <v>285.9</v>
      </c>
      <c r="J387" s="3" t="n">
        <v>452.92</v>
      </c>
    </row>
    <row r="388">
      <c r="A388" s="2" t="n">
        <v>46365</v>
      </c>
      <c r="B388" t="inlineStr">
        <is>
          <t>Luis</t>
        </is>
      </c>
      <c r="C388" t="inlineStr">
        <is>
          <t>Ícaro S.A.C.</t>
        </is>
      </c>
      <c r="D388" t="inlineStr">
        <is>
          <t>Norte</t>
        </is>
      </c>
      <c r="E388" t="inlineStr">
        <is>
          <t>Consultoría (hora)</t>
        </is>
      </c>
      <c r="F388" t="inlineStr">
        <is>
          <t>Servicios</t>
        </is>
      </c>
      <c r="G388" t="n">
        <v>1</v>
      </c>
      <c r="H388" s="3" t="n">
        <v>99.91</v>
      </c>
      <c r="I388" s="3" t="n">
        <v>72.55</v>
      </c>
      <c r="J388" s="3" t="n">
        <v>99.91</v>
      </c>
    </row>
    <row r="389">
      <c r="A389" s="2" t="n">
        <v>46374</v>
      </c>
      <c r="B389" t="inlineStr">
        <is>
          <t>Carla</t>
        </is>
      </c>
      <c r="C389" t="inlineStr">
        <is>
          <t>Mistura Logística</t>
        </is>
      </c>
      <c r="D389" t="inlineStr">
        <is>
          <t>Norte</t>
        </is>
      </c>
      <c r="E389" t="inlineStr">
        <is>
          <t>Capacitación</t>
        </is>
      </c>
      <c r="F389" t="inlineStr">
        <is>
          <t>Formación</t>
        </is>
      </c>
      <c r="G389" t="n">
        <v>1</v>
      </c>
      <c r="H389" s="3" t="n">
        <v>292.12</v>
      </c>
      <c r="I389" s="3" t="n">
        <v>200.6</v>
      </c>
      <c r="J389" s="3" t="n">
        <v>292.12</v>
      </c>
    </row>
    <row r="390">
      <c r="A390" s="2" t="n">
        <v>46370</v>
      </c>
      <c r="B390" t="inlineStr">
        <is>
          <t>Jorge</t>
        </is>
      </c>
      <c r="C390" t="inlineStr">
        <is>
          <t>Gama Retail</t>
        </is>
      </c>
      <c r="D390" t="inlineStr">
        <is>
          <t>Sur</t>
        </is>
      </c>
      <c r="E390" t="inlineStr">
        <is>
          <t>Capacitación</t>
        </is>
      </c>
      <c r="F390" t="inlineStr">
        <is>
          <t>Formación</t>
        </is>
      </c>
      <c r="G390" t="n">
        <v>1</v>
      </c>
      <c r="H390" s="3" t="n">
        <v>291.62</v>
      </c>
      <c r="I390" s="3" t="n">
        <v>180.03</v>
      </c>
      <c r="J390" s="3" t="n">
        <v>291.62</v>
      </c>
    </row>
    <row r="391">
      <c r="A391" s="2" t="n">
        <v>46382</v>
      </c>
      <c r="B391" t="inlineStr">
        <is>
          <t>Jorge</t>
        </is>
      </c>
      <c r="C391" t="inlineStr">
        <is>
          <t>Nexo Comercial</t>
        </is>
      </c>
      <c r="D391" t="inlineStr">
        <is>
          <t>Norte</t>
        </is>
      </c>
      <c r="E391" t="inlineStr">
        <is>
          <t>Capacitación</t>
        </is>
      </c>
      <c r="F391" t="inlineStr">
        <is>
          <t>Formación</t>
        </is>
      </c>
      <c r="G391" t="n">
        <v>1</v>
      </c>
      <c r="H391" s="3" t="n">
        <v>347.19</v>
      </c>
      <c r="I391" s="3" t="n">
        <v>254.61</v>
      </c>
      <c r="J391" s="3" t="n">
        <v>347.19</v>
      </c>
    </row>
    <row r="392">
      <c r="A392" s="2" t="n">
        <v>46367</v>
      </c>
      <c r="B392" t="inlineStr">
        <is>
          <t>Jorge</t>
        </is>
      </c>
      <c r="C392" t="inlineStr">
        <is>
          <t>Lago Group</t>
        </is>
      </c>
      <c r="D392" t="inlineStr">
        <is>
          <t>Sur</t>
        </is>
      </c>
      <c r="E392" t="inlineStr">
        <is>
          <t>Soporte mensual</t>
        </is>
      </c>
      <c r="F392" t="inlineStr">
        <is>
          <t>Servicios</t>
        </is>
      </c>
      <c r="G392" t="n">
        <v>1</v>
      </c>
      <c r="H392" s="3" t="n">
        <v>226.46</v>
      </c>
      <c r="I392" s="3" t="n">
        <v>146.82</v>
      </c>
      <c r="J392" s="3" t="n">
        <v>226.46</v>
      </c>
    </row>
    <row r="393">
      <c r="A393" s="2" t="n">
        <v>46360</v>
      </c>
      <c r="B393" t="inlineStr">
        <is>
          <t>Jorge</t>
        </is>
      </c>
      <c r="C393" t="inlineStr">
        <is>
          <t>Huaca Group</t>
        </is>
      </c>
      <c r="D393" t="inlineStr">
        <is>
          <t>Norte</t>
        </is>
      </c>
      <c r="E393" t="inlineStr">
        <is>
          <t>Consultoría (hora)</t>
        </is>
      </c>
      <c r="F393" t="inlineStr">
        <is>
          <t>Servicios</t>
        </is>
      </c>
      <c r="G393" t="n">
        <v>1</v>
      </c>
      <c r="H393" s="3" t="n">
        <v>99.34</v>
      </c>
      <c r="I393" s="3" t="n">
        <v>65.88</v>
      </c>
      <c r="J393" s="3" t="n">
        <v>99.34</v>
      </c>
    </row>
    <row r="394">
      <c r="A394" s="2" t="n">
        <v>46357</v>
      </c>
      <c r="B394" t="inlineStr">
        <is>
          <t>Luis</t>
        </is>
      </c>
      <c r="C394" t="inlineStr">
        <is>
          <t>Lago Tech</t>
        </is>
      </c>
      <c r="D394" t="inlineStr">
        <is>
          <t>Norte</t>
        </is>
      </c>
      <c r="E394" t="inlineStr">
        <is>
          <t>Consultoría (hora)</t>
        </is>
      </c>
      <c r="F394" t="inlineStr">
        <is>
          <t>Servicios</t>
        </is>
      </c>
      <c r="G394" t="n">
        <v>1</v>
      </c>
      <c r="H394" s="3" t="n">
        <v>90.22</v>
      </c>
      <c r="I394" s="3" t="n">
        <v>55.67</v>
      </c>
      <c r="J394" s="3" t="n">
        <v>90.22</v>
      </c>
    </row>
    <row r="395">
      <c r="A395" s="2" t="n">
        <v>46364</v>
      </c>
      <c r="B395" t="inlineStr">
        <is>
          <t>Jorge</t>
        </is>
      </c>
      <c r="C395" t="inlineStr">
        <is>
          <t>Kora Retail</t>
        </is>
      </c>
      <c r="D395" t="inlineStr">
        <is>
          <t>Sur</t>
        </is>
      </c>
      <c r="E395" t="inlineStr">
        <is>
          <t>Licencia anual</t>
        </is>
      </c>
      <c r="F395" t="inlineStr">
        <is>
          <t>Software</t>
        </is>
      </c>
      <c r="G395" t="n">
        <v>1</v>
      </c>
      <c r="H395" s="3" t="n">
        <v>475.3</v>
      </c>
      <c r="I395" s="3" t="n">
        <v>327.09</v>
      </c>
      <c r="J395" s="3" t="n">
        <v>475.3</v>
      </c>
    </row>
    <row r="396">
      <c r="A396" s="2" t="n">
        <v>46366</v>
      </c>
      <c r="B396" t="inlineStr">
        <is>
          <t>Jorge</t>
        </is>
      </c>
      <c r="C396" t="inlineStr">
        <is>
          <t>Gama Import</t>
        </is>
      </c>
      <c r="D396" t="inlineStr">
        <is>
          <t>Sur</t>
        </is>
      </c>
      <c r="E396" t="inlineStr">
        <is>
          <t>Capacitación</t>
        </is>
      </c>
      <c r="F396" t="inlineStr">
        <is>
          <t>Formación</t>
        </is>
      </c>
      <c r="G396" t="n">
        <v>1</v>
      </c>
      <c r="H396" s="3" t="n">
        <v>309.47</v>
      </c>
      <c r="I396" s="3" t="n">
        <v>218.34</v>
      </c>
      <c r="J396" s="3" t="n">
        <v>309.47</v>
      </c>
    </row>
    <row r="397">
      <c r="A397" s="2" t="n">
        <v>46377</v>
      </c>
      <c r="B397" t="inlineStr">
        <is>
          <t>Carla</t>
        </is>
      </c>
      <c r="C397" t="inlineStr">
        <is>
          <t>Nexo S.A.</t>
        </is>
      </c>
      <c r="D397" t="inlineStr">
        <is>
          <t>Norte</t>
        </is>
      </c>
      <c r="E397" t="inlineStr">
        <is>
          <t>Soporte mensual</t>
        </is>
      </c>
      <c r="F397" t="inlineStr">
        <is>
          <t>Servicios</t>
        </is>
      </c>
      <c r="G397" t="n">
        <v>1</v>
      </c>
      <c r="H397" s="3" t="n">
        <v>241.64</v>
      </c>
      <c r="I397" s="3" t="n">
        <v>159.41</v>
      </c>
      <c r="J397" s="3" t="n">
        <v>241.64</v>
      </c>
    </row>
    <row r="398">
      <c r="A398" s="2" t="n">
        <v>46364</v>
      </c>
      <c r="B398" t="inlineStr">
        <is>
          <t>Ana</t>
        </is>
      </c>
      <c r="C398" t="inlineStr">
        <is>
          <t>Fénix Group</t>
        </is>
      </c>
      <c r="D398" t="inlineStr">
        <is>
          <t>Sur</t>
        </is>
      </c>
      <c r="E398" t="inlineStr">
        <is>
          <t>Soporte mensual</t>
        </is>
      </c>
      <c r="F398" t="inlineStr">
        <is>
          <t>Servicios</t>
        </is>
      </c>
      <c r="G398" t="n">
        <v>1</v>
      </c>
      <c r="H398" s="3" t="n">
        <v>251.68</v>
      </c>
      <c r="I398" s="3" t="n">
        <v>170.4</v>
      </c>
      <c r="J398" s="3" t="n">
        <v>251.68</v>
      </c>
    </row>
    <row r="399">
      <c r="A399" s="2" t="n">
        <v>46357</v>
      </c>
      <c r="B399" t="inlineStr">
        <is>
          <t>Luis</t>
        </is>
      </c>
      <c r="C399" t="inlineStr">
        <is>
          <t>Andes Tech</t>
        </is>
      </c>
      <c r="D399" t="inlineStr">
        <is>
          <t>Norte</t>
        </is>
      </c>
      <c r="E399" t="inlineStr">
        <is>
          <t>Consultoría (hora)</t>
        </is>
      </c>
      <c r="F399" t="inlineStr">
        <is>
          <t>Servicios</t>
        </is>
      </c>
      <c r="G399" t="n">
        <v>1</v>
      </c>
      <c r="H399" s="3" t="n">
        <v>102.42</v>
      </c>
      <c r="I399" s="3" t="n">
        <v>76.45</v>
      </c>
      <c r="J399" s="3" t="n">
        <v>102.42</v>
      </c>
    </row>
    <row r="400">
      <c r="A400" s="2" t="n">
        <v>46371</v>
      </c>
      <c r="B400" t="inlineStr">
        <is>
          <t>Carla</t>
        </is>
      </c>
      <c r="C400" t="inlineStr">
        <is>
          <t>Río Tech</t>
        </is>
      </c>
      <c r="D400" t="inlineStr">
        <is>
          <t>Norte</t>
        </is>
      </c>
      <c r="E400" t="inlineStr">
        <is>
          <t>Consultoría (hora)</t>
        </is>
      </c>
      <c r="F400" t="inlineStr">
        <is>
          <t>Servicios</t>
        </is>
      </c>
      <c r="G400" t="n">
        <v>1</v>
      </c>
      <c r="H400" s="3" t="n">
        <v>102.26</v>
      </c>
      <c r="I400" s="3" t="n">
        <v>68.20999999999999</v>
      </c>
      <c r="J400" s="3" t="n">
        <v>102.26</v>
      </c>
    </row>
    <row r="401">
      <c r="A401" s="2" t="n">
        <v>46373</v>
      </c>
      <c r="B401" t="inlineStr">
        <is>
          <t>Ana</t>
        </is>
      </c>
      <c r="C401" t="inlineStr">
        <is>
          <t>Cóndor S.A.C.</t>
        </is>
      </c>
      <c r="D401" t="inlineStr">
        <is>
          <t>Sur</t>
        </is>
      </c>
      <c r="E401" t="inlineStr">
        <is>
          <t>Capacitación</t>
        </is>
      </c>
      <c r="F401" t="inlineStr">
        <is>
          <t>Formación</t>
        </is>
      </c>
      <c r="G401" t="n">
        <v>1</v>
      </c>
      <c r="H401" s="3" t="n">
        <v>334.71</v>
      </c>
      <c r="I401" s="3" t="n">
        <v>236.94</v>
      </c>
      <c r="J401" s="3" t="n">
        <v>334.71</v>
      </c>
    </row>
    <row r="402">
      <c r="A402" s="2" t="n">
        <v>46383</v>
      </c>
      <c r="B402" t="inlineStr">
        <is>
          <t>Jorge</t>
        </is>
      </c>
      <c r="C402" t="inlineStr">
        <is>
          <t>Jade Group</t>
        </is>
      </c>
      <c r="D402" t="inlineStr">
        <is>
          <t>Norte</t>
        </is>
      </c>
      <c r="E402" t="inlineStr">
        <is>
          <t>Consultoría (hora)</t>
        </is>
      </c>
      <c r="F402" t="inlineStr">
        <is>
          <t>Servicios</t>
        </is>
      </c>
      <c r="G402" t="n">
        <v>1</v>
      </c>
      <c r="H402" s="3" t="n">
        <v>91.91</v>
      </c>
      <c r="I402" s="3" t="n">
        <v>58.83</v>
      </c>
      <c r="J402" s="3" t="n">
        <v>91.91</v>
      </c>
    </row>
    <row r="403">
      <c r="A403" s="2" t="n">
        <v>46369</v>
      </c>
      <c r="B403" t="inlineStr">
        <is>
          <t>Jorge</t>
        </is>
      </c>
      <c r="C403" t="inlineStr">
        <is>
          <t>Cóndor Retail</t>
        </is>
      </c>
      <c r="D403" t="inlineStr">
        <is>
          <t>Norte</t>
        </is>
      </c>
      <c r="E403" t="inlineStr">
        <is>
          <t>Capacitación</t>
        </is>
      </c>
      <c r="F403" t="inlineStr">
        <is>
          <t>Formación</t>
        </is>
      </c>
      <c r="G403" t="n">
        <v>1</v>
      </c>
      <c r="H403" s="3" t="n">
        <v>328.76</v>
      </c>
      <c r="I403" s="3" t="n">
        <v>203.36</v>
      </c>
      <c r="J403" s="3" t="n">
        <v>328.76</v>
      </c>
    </row>
    <row r="404">
      <c r="A404" s="2" t="n">
        <v>46380</v>
      </c>
      <c r="B404" t="inlineStr">
        <is>
          <t>Ana</t>
        </is>
      </c>
      <c r="C404" t="inlineStr">
        <is>
          <t>Bahía S.A.</t>
        </is>
      </c>
      <c r="D404" t="inlineStr">
        <is>
          <t>Norte</t>
        </is>
      </c>
      <c r="E404" t="inlineStr">
        <is>
          <t>Consultoría (hora)</t>
        </is>
      </c>
      <c r="F404" t="inlineStr">
        <is>
          <t>Servicios</t>
        </is>
      </c>
      <c r="G404" t="n">
        <v>1</v>
      </c>
      <c r="H404" s="3" t="n">
        <v>98.67</v>
      </c>
      <c r="I404" s="3" t="n">
        <v>66.09999999999999</v>
      </c>
      <c r="J404" s="3" t="n">
        <v>98.67</v>
      </c>
    </row>
    <row r="405">
      <c r="A405" s="2" t="n">
        <v>46370</v>
      </c>
      <c r="B405" t="inlineStr">
        <is>
          <t>Carla</t>
        </is>
      </c>
      <c r="C405" t="inlineStr">
        <is>
          <t>Bahía Servicios</t>
        </is>
      </c>
      <c r="D405" t="inlineStr">
        <is>
          <t>Sur</t>
        </is>
      </c>
      <c r="E405" t="inlineStr">
        <is>
          <t>Licencia anual</t>
        </is>
      </c>
      <c r="F405" t="inlineStr">
        <is>
          <t>Software</t>
        </is>
      </c>
      <c r="G405" t="n">
        <v>1</v>
      </c>
      <c r="H405" s="3" t="n">
        <v>469.4</v>
      </c>
      <c r="I405" s="3" t="n">
        <v>322.96</v>
      </c>
      <c r="J405" s="3" t="n">
        <v>469.4</v>
      </c>
    </row>
    <row r="406">
      <c r="A406" s="2" t="n">
        <v>46368</v>
      </c>
      <c r="B406" t="inlineStr">
        <is>
          <t>Carla</t>
        </is>
      </c>
      <c r="C406" t="inlineStr">
        <is>
          <t>Ícaro Import</t>
        </is>
      </c>
      <c r="D406" t="inlineStr">
        <is>
          <t>Norte</t>
        </is>
      </c>
      <c r="E406" t="inlineStr">
        <is>
          <t>Consultoría (hora)</t>
        </is>
      </c>
      <c r="F406" t="inlineStr">
        <is>
          <t>Servicios</t>
        </is>
      </c>
      <c r="G406" t="n">
        <v>1</v>
      </c>
      <c r="H406" s="3" t="n">
        <v>87.19</v>
      </c>
      <c r="I406" s="3" t="n">
        <v>53.63</v>
      </c>
      <c r="J406" s="3" t="n">
        <v>87.19</v>
      </c>
    </row>
    <row r="407">
      <c r="A407" s="2" t="n">
        <v>46368</v>
      </c>
      <c r="B407" t="inlineStr">
        <is>
          <t>Carla</t>
        </is>
      </c>
      <c r="C407" t="inlineStr">
        <is>
          <t>Sol Import</t>
        </is>
      </c>
      <c r="D407" t="inlineStr">
        <is>
          <t>Sur</t>
        </is>
      </c>
      <c r="E407" t="inlineStr">
        <is>
          <t>Capacitación</t>
        </is>
      </c>
      <c r="F407" t="inlineStr">
        <is>
          <t>Formación</t>
        </is>
      </c>
      <c r="G407" t="n">
        <v>1</v>
      </c>
      <c r="H407" s="3" t="n">
        <v>297.34</v>
      </c>
      <c r="I407" s="3" t="n">
        <v>180.99</v>
      </c>
      <c r="J407" s="3" t="n">
        <v>297.34</v>
      </c>
    </row>
    <row r="408">
      <c r="A408" s="2" t="n">
        <v>46366</v>
      </c>
      <c r="B408" t="inlineStr">
        <is>
          <t>Carla</t>
        </is>
      </c>
      <c r="C408" t="inlineStr">
        <is>
          <t>Mistura Foods</t>
        </is>
      </c>
      <c r="D408" t="inlineStr">
        <is>
          <t>Centro</t>
        </is>
      </c>
      <c r="E408" t="inlineStr">
        <is>
          <t>Consultoría (hora)</t>
        </is>
      </c>
      <c r="F408" t="inlineStr">
        <is>
          <t>Servicios</t>
        </is>
      </c>
      <c r="G408" t="n">
        <v>1</v>
      </c>
      <c r="H408" s="3" t="n">
        <v>96.63</v>
      </c>
      <c r="I408" s="3" t="n">
        <v>66.02</v>
      </c>
      <c r="J408" s="3" t="n">
        <v>96.63</v>
      </c>
    </row>
    <row r="409">
      <c r="A409" s="2" t="n">
        <v>46379</v>
      </c>
      <c r="B409" t="inlineStr">
        <is>
          <t>Jorge</t>
        </is>
      </c>
      <c r="C409" t="inlineStr">
        <is>
          <t>Gama Group</t>
        </is>
      </c>
      <c r="D409" t="inlineStr">
        <is>
          <t>Centro</t>
        </is>
      </c>
      <c r="E409" t="inlineStr">
        <is>
          <t>Consultoría (hora)</t>
        </is>
      </c>
      <c r="F409" t="inlineStr">
        <is>
          <t>Servicios</t>
        </is>
      </c>
      <c r="G409" t="n">
        <v>1</v>
      </c>
      <c r="H409" s="3" t="n">
        <v>92.55</v>
      </c>
      <c r="I409" s="3" t="n">
        <v>64.31</v>
      </c>
      <c r="J409" s="3" t="n">
        <v>92.55</v>
      </c>
    </row>
    <row r="410">
      <c r="A410" s="2" t="n">
        <v>46373</v>
      </c>
      <c r="B410" t="inlineStr">
        <is>
          <t>Ana</t>
        </is>
      </c>
      <c r="C410" t="inlineStr">
        <is>
          <t>Andes Tech</t>
        </is>
      </c>
      <c r="D410" t="inlineStr">
        <is>
          <t>Norte</t>
        </is>
      </c>
      <c r="E410" t="inlineStr">
        <is>
          <t>Consultoría (hora)</t>
        </is>
      </c>
      <c r="F410" t="inlineStr">
        <is>
          <t>Servicios</t>
        </is>
      </c>
      <c r="G410" t="n">
        <v>1</v>
      </c>
      <c r="H410" s="3" t="n">
        <v>95.04000000000001</v>
      </c>
      <c r="I410" s="3" t="n">
        <v>59.26</v>
      </c>
      <c r="J410" s="3" t="n">
        <v>95.04000000000001</v>
      </c>
    </row>
    <row r="411">
      <c r="A411" s="2" t="n">
        <v>46384</v>
      </c>
      <c r="B411" t="inlineStr">
        <is>
          <t>Jorge</t>
        </is>
      </c>
      <c r="C411" t="inlineStr">
        <is>
          <t>Río Servicios</t>
        </is>
      </c>
      <c r="D411" t="inlineStr">
        <is>
          <t>Sur</t>
        </is>
      </c>
      <c r="E411" t="inlineStr">
        <is>
          <t>Consultoría (hora)</t>
        </is>
      </c>
      <c r="F411" t="inlineStr">
        <is>
          <t>Servicios</t>
        </is>
      </c>
      <c r="G411" t="n">
        <v>1</v>
      </c>
      <c r="H411" s="3" t="n">
        <v>97.98999999999999</v>
      </c>
      <c r="I411" s="3" t="n">
        <v>65.76000000000001</v>
      </c>
      <c r="J411" s="3" t="n">
        <v>97.98999999999999</v>
      </c>
    </row>
    <row r="412">
      <c r="A412" s="2" t="n">
        <v>46379</v>
      </c>
      <c r="B412" t="inlineStr">
        <is>
          <t>Luis</t>
        </is>
      </c>
      <c r="C412" t="inlineStr">
        <is>
          <t>Lago Foods</t>
        </is>
      </c>
      <c r="D412" t="inlineStr">
        <is>
          <t>Centro</t>
        </is>
      </c>
      <c r="E412" t="inlineStr">
        <is>
          <t>Capacitación</t>
        </is>
      </c>
      <c r="F412" t="inlineStr">
        <is>
          <t>Formación</t>
        </is>
      </c>
      <c r="G412" t="n">
        <v>1</v>
      </c>
      <c r="H412" s="3" t="n">
        <v>306.16</v>
      </c>
      <c r="I412" s="3" t="n">
        <v>215.38</v>
      </c>
      <c r="J412" s="3" t="n">
        <v>306.16</v>
      </c>
    </row>
    <row r="413">
      <c r="A413" s="2" t="n">
        <v>46365</v>
      </c>
      <c r="B413" t="inlineStr">
        <is>
          <t>Carla</t>
        </is>
      </c>
      <c r="C413" t="inlineStr">
        <is>
          <t>Nexo Ltda.</t>
        </is>
      </c>
      <c r="D413" t="inlineStr">
        <is>
          <t>Centro</t>
        </is>
      </c>
      <c r="E413" t="inlineStr">
        <is>
          <t>Capacitación</t>
        </is>
      </c>
      <c r="F413" t="inlineStr">
        <is>
          <t>Formación</t>
        </is>
      </c>
      <c r="G413" t="n">
        <v>1</v>
      </c>
      <c r="H413" s="3" t="n">
        <v>326.65</v>
      </c>
      <c r="I413" s="3" t="n">
        <v>230.06</v>
      </c>
      <c r="J413" s="3" t="n">
        <v>326.65</v>
      </c>
    </row>
    <row r="414">
      <c r="A414" s="2" t="n">
        <v>46371</v>
      </c>
      <c r="B414" t="inlineStr">
        <is>
          <t>Luis</t>
        </is>
      </c>
      <c r="C414" t="inlineStr">
        <is>
          <t>Andes S.A.</t>
        </is>
      </c>
      <c r="D414" t="inlineStr">
        <is>
          <t>Sur</t>
        </is>
      </c>
      <c r="E414" t="inlineStr">
        <is>
          <t>Capacitación</t>
        </is>
      </c>
      <c r="F414" t="inlineStr">
        <is>
          <t>Formación</t>
        </is>
      </c>
      <c r="G414" t="n">
        <v>1</v>
      </c>
      <c r="H414" s="3" t="n">
        <v>301.55</v>
      </c>
      <c r="I414" s="3" t="n">
        <v>210.98</v>
      </c>
      <c r="J414" s="3" t="n">
        <v>301.55</v>
      </c>
    </row>
    <row r="415">
      <c r="A415" s="2" t="n">
        <v>46378</v>
      </c>
      <c r="B415" t="inlineStr">
        <is>
          <t>Carla</t>
        </is>
      </c>
      <c r="C415" t="inlineStr">
        <is>
          <t>Tika Foods</t>
        </is>
      </c>
      <c r="D415" t="inlineStr">
        <is>
          <t>Centro</t>
        </is>
      </c>
      <c r="E415" t="inlineStr">
        <is>
          <t>Capacitación</t>
        </is>
      </c>
      <c r="F415" t="inlineStr">
        <is>
          <t>Formación</t>
        </is>
      </c>
      <c r="G415" t="n">
        <v>1</v>
      </c>
      <c r="H415" s="3" t="n">
        <v>337.35</v>
      </c>
      <c r="I415" s="3" t="n">
        <v>215.21</v>
      </c>
      <c r="J415" s="3" t="n">
        <v>337.35</v>
      </c>
    </row>
    <row r="416">
      <c r="A416" s="2" t="n">
        <v>46361</v>
      </c>
      <c r="B416" t="inlineStr">
        <is>
          <t>Luis</t>
        </is>
      </c>
      <c r="C416" t="inlineStr">
        <is>
          <t>Mistura Comercial</t>
        </is>
      </c>
      <c r="D416" t="inlineStr">
        <is>
          <t>Centro</t>
        </is>
      </c>
      <c r="E416" t="inlineStr">
        <is>
          <t>Consultoría (hora)</t>
        </is>
      </c>
      <c r="F416" t="inlineStr">
        <is>
          <t>Servicios</t>
        </is>
      </c>
      <c r="G416" t="n">
        <v>1</v>
      </c>
      <c r="H416" s="3" t="n">
        <v>93.26000000000001</v>
      </c>
      <c r="I416" s="3" t="n">
        <v>68.48</v>
      </c>
      <c r="J416" s="3" t="n">
        <v>93.26000000000001</v>
      </c>
    </row>
    <row r="417">
      <c r="A417" s="2" t="n">
        <v>46368</v>
      </c>
      <c r="B417" t="inlineStr">
        <is>
          <t>Luis</t>
        </is>
      </c>
      <c r="C417" t="inlineStr">
        <is>
          <t>Kora Foods</t>
        </is>
      </c>
      <c r="D417" t="inlineStr">
        <is>
          <t>Centro</t>
        </is>
      </c>
      <c r="E417" t="inlineStr">
        <is>
          <t>Soporte mensual</t>
        </is>
      </c>
      <c r="F417" t="inlineStr">
        <is>
          <t>Servicios</t>
        </is>
      </c>
      <c r="G417" t="n">
        <v>1</v>
      </c>
      <c r="H417" s="3" t="n">
        <v>238.72</v>
      </c>
      <c r="I417" s="3" t="n">
        <v>150.48</v>
      </c>
      <c r="J417" s="3" t="n">
        <v>238.72</v>
      </c>
    </row>
    <row r="418">
      <c r="A418" s="2" t="n">
        <v>46375</v>
      </c>
      <c r="B418" t="inlineStr">
        <is>
          <t>Ana</t>
        </is>
      </c>
      <c r="C418" t="inlineStr">
        <is>
          <t>Ola Ltda.</t>
        </is>
      </c>
      <c r="D418" t="inlineStr">
        <is>
          <t>Norte</t>
        </is>
      </c>
      <c r="E418" t="inlineStr">
        <is>
          <t>Licencia anual</t>
        </is>
      </c>
      <c r="F418" t="inlineStr">
        <is>
          <t>Software</t>
        </is>
      </c>
      <c r="G418" t="n">
        <v>1</v>
      </c>
      <c r="H418" s="3" t="n">
        <v>405.37</v>
      </c>
      <c r="I418" s="3" t="n">
        <v>279.49</v>
      </c>
      <c r="J418" s="3" t="n">
        <v>405.37</v>
      </c>
    </row>
    <row r="419">
      <c r="A419" s="2" t="n">
        <v>46377</v>
      </c>
      <c r="B419" t="inlineStr">
        <is>
          <t>Carla</t>
        </is>
      </c>
      <c r="C419" t="inlineStr">
        <is>
          <t>Sol Servicios</t>
        </is>
      </c>
      <c r="D419" t="inlineStr">
        <is>
          <t>Centro</t>
        </is>
      </c>
      <c r="E419" t="inlineStr">
        <is>
          <t>Consultoría (hora)</t>
        </is>
      </c>
      <c r="F419" t="inlineStr">
        <is>
          <t>Servicios</t>
        </is>
      </c>
      <c r="G419" t="n">
        <v>1</v>
      </c>
      <c r="H419" s="3" t="n">
        <v>101.79</v>
      </c>
      <c r="I419" s="3" t="n">
        <v>70.08</v>
      </c>
      <c r="J419" s="3" t="n">
        <v>101.79</v>
      </c>
    </row>
    <row r="420">
      <c r="A420" s="2" t="n">
        <v>46358</v>
      </c>
      <c r="B420" t="inlineStr">
        <is>
          <t>Carla</t>
        </is>
      </c>
      <c r="C420" t="inlineStr">
        <is>
          <t>Quipu Foods</t>
        </is>
      </c>
      <c r="D420" t="inlineStr">
        <is>
          <t>Centro</t>
        </is>
      </c>
      <c r="E420" t="inlineStr">
        <is>
          <t>Consultoría (hora)</t>
        </is>
      </c>
      <c r="F420" t="inlineStr">
        <is>
          <t>Servicios</t>
        </is>
      </c>
      <c r="G420" t="n">
        <v>1</v>
      </c>
      <c r="H420" s="3" t="n">
        <v>96.91</v>
      </c>
      <c r="I420" s="3" t="n">
        <v>60.45</v>
      </c>
      <c r="J420" s="3" t="n">
        <v>96.91</v>
      </c>
    </row>
    <row r="421">
      <c r="A421" s="2" t="n">
        <v>46384</v>
      </c>
      <c r="B421" t="inlineStr">
        <is>
          <t>Ana</t>
        </is>
      </c>
      <c r="C421" t="inlineStr">
        <is>
          <t>Puna S.A.</t>
        </is>
      </c>
      <c r="D421" t="inlineStr">
        <is>
          <t>Centro</t>
        </is>
      </c>
      <c r="E421" t="inlineStr">
        <is>
          <t>Consultoría (hora)</t>
        </is>
      </c>
      <c r="F421" t="inlineStr">
        <is>
          <t>Servicios</t>
        </is>
      </c>
      <c r="G421" t="n">
        <v>1</v>
      </c>
      <c r="H421" s="3" t="n">
        <v>89.81999999999999</v>
      </c>
      <c r="I421" s="3" t="n">
        <v>54.1</v>
      </c>
      <c r="J421" s="3" t="n">
        <v>89.81999999999999</v>
      </c>
    </row>
    <row r="422">
      <c r="A422" s="2" t="n">
        <v>46381</v>
      </c>
      <c r="B422" t="inlineStr">
        <is>
          <t>Luis</t>
        </is>
      </c>
      <c r="C422" t="inlineStr">
        <is>
          <t>Gama Group</t>
        </is>
      </c>
      <c r="D422" t="inlineStr">
        <is>
          <t>Centro</t>
        </is>
      </c>
      <c r="E422" t="inlineStr">
        <is>
          <t>Licencia anual</t>
        </is>
      </c>
      <c r="F422" t="inlineStr">
        <is>
          <t>Software</t>
        </is>
      </c>
      <c r="G422" t="n">
        <v>1</v>
      </c>
      <c r="H422" s="3" t="n">
        <v>431.15</v>
      </c>
      <c r="I422" s="3" t="n">
        <v>271.11</v>
      </c>
      <c r="J422" s="3" t="n">
        <v>431.15</v>
      </c>
    </row>
    <row r="423">
      <c r="A423" s="2" t="n">
        <v>46382</v>
      </c>
      <c r="B423" t="inlineStr">
        <is>
          <t>Ana</t>
        </is>
      </c>
      <c r="C423" t="inlineStr">
        <is>
          <t>Puna Group</t>
        </is>
      </c>
      <c r="D423" t="inlineStr">
        <is>
          <t>Centro</t>
        </is>
      </c>
      <c r="E423" t="inlineStr">
        <is>
          <t>Consultoría (hora)</t>
        </is>
      </c>
      <c r="F423" t="inlineStr">
        <is>
          <t>Servicios</t>
        </is>
      </c>
      <c r="G423" t="n">
        <v>1</v>
      </c>
      <c r="H423" s="3" t="n">
        <v>102.48</v>
      </c>
      <c r="I423" s="3" t="n">
        <v>70.42</v>
      </c>
      <c r="J423" s="3" t="n">
        <v>102.48</v>
      </c>
    </row>
    <row r="424">
      <c r="A424" s="2" t="n">
        <v>46370</v>
      </c>
      <c r="B424" t="inlineStr">
        <is>
          <t>Carla</t>
        </is>
      </c>
      <c r="C424" t="inlineStr">
        <is>
          <t>Andes S.A.</t>
        </is>
      </c>
      <c r="D424" t="inlineStr">
        <is>
          <t>Sur</t>
        </is>
      </c>
      <c r="E424" t="inlineStr">
        <is>
          <t>Soporte mensual</t>
        </is>
      </c>
      <c r="F424" t="inlineStr">
        <is>
          <t>Servicios</t>
        </is>
      </c>
      <c r="G424" t="n">
        <v>1</v>
      </c>
      <c r="H424" s="3" t="n">
        <v>242.08</v>
      </c>
      <c r="I424" s="3" t="n">
        <v>169.06</v>
      </c>
      <c r="J424" s="3" t="n">
        <v>242.08</v>
      </c>
    </row>
    <row r="425">
      <c r="A425" s="2" t="n">
        <v>46383</v>
      </c>
      <c r="B425" t="inlineStr">
        <is>
          <t>Jorge</t>
        </is>
      </c>
      <c r="C425" t="inlineStr">
        <is>
          <t>Tika Foods</t>
        </is>
      </c>
      <c r="D425" t="inlineStr">
        <is>
          <t>Centro</t>
        </is>
      </c>
      <c r="E425" t="inlineStr">
        <is>
          <t>Licencia anual</t>
        </is>
      </c>
      <c r="F425" t="inlineStr">
        <is>
          <t>Software</t>
        </is>
      </c>
      <c r="G425" t="n">
        <v>1</v>
      </c>
      <c r="H425" s="3" t="n">
        <v>409.89</v>
      </c>
      <c r="I425" s="3" t="n">
        <v>274.89</v>
      </c>
      <c r="J425" s="3" t="n">
        <v>409.89</v>
      </c>
    </row>
    <row r="426">
      <c r="A426" s="2" t="n">
        <v>46360</v>
      </c>
      <c r="B426" t="inlineStr">
        <is>
          <t>Ana</t>
        </is>
      </c>
      <c r="C426" t="inlineStr">
        <is>
          <t>Fénix Retail</t>
        </is>
      </c>
      <c r="D426" t="inlineStr">
        <is>
          <t>Sur</t>
        </is>
      </c>
      <c r="E426" t="inlineStr">
        <is>
          <t>Consultoría (hora)</t>
        </is>
      </c>
      <c r="F426" t="inlineStr">
        <is>
          <t>Servicios</t>
        </is>
      </c>
      <c r="G426" t="n">
        <v>1</v>
      </c>
      <c r="H426" s="3" t="n">
        <v>90.8</v>
      </c>
      <c r="I426" s="3" t="n">
        <v>57.54</v>
      </c>
      <c r="J426" s="3" t="n">
        <v>90.8</v>
      </c>
    </row>
    <row r="427">
      <c r="A427" s="2" t="n">
        <v>46358</v>
      </c>
      <c r="B427" t="inlineStr">
        <is>
          <t>Luis</t>
        </is>
      </c>
      <c r="C427" t="inlineStr">
        <is>
          <t>Cóndor Tech</t>
        </is>
      </c>
      <c r="D427" t="inlineStr">
        <is>
          <t>Centro</t>
        </is>
      </c>
      <c r="E427" t="inlineStr">
        <is>
          <t>Capacitación</t>
        </is>
      </c>
      <c r="F427" t="inlineStr">
        <is>
          <t>Formación</t>
        </is>
      </c>
      <c r="G427" t="n">
        <v>1</v>
      </c>
      <c r="H427" s="3" t="n">
        <v>309.04</v>
      </c>
      <c r="I427" s="3" t="n">
        <v>191.73</v>
      </c>
      <c r="J427" s="3" t="n">
        <v>309.04</v>
      </c>
    </row>
    <row r="428">
      <c r="A428" s="2" t="n">
        <v>46380</v>
      </c>
      <c r="B428" t="inlineStr">
        <is>
          <t>Jorge</t>
        </is>
      </c>
      <c r="C428" t="inlineStr">
        <is>
          <t>Sol Group</t>
        </is>
      </c>
      <c r="D428" t="inlineStr">
        <is>
          <t>Sur</t>
        </is>
      </c>
      <c r="E428" t="inlineStr">
        <is>
          <t>Licencia anual</t>
        </is>
      </c>
      <c r="F428" t="inlineStr">
        <is>
          <t>Software</t>
        </is>
      </c>
      <c r="G428" t="n">
        <v>1</v>
      </c>
      <c r="H428" s="3" t="n">
        <v>489.43</v>
      </c>
      <c r="I428" s="3" t="n">
        <v>319.16</v>
      </c>
      <c r="J428" s="3" t="n">
        <v>489.43</v>
      </c>
    </row>
    <row r="429">
      <c r="A429" s="2" t="n">
        <v>46375</v>
      </c>
      <c r="B429" t="inlineStr">
        <is>
          <t>Carla</t>
        </is>
      </c>
      <c r="C429" t="inlineStr">
        <is>
          <t>Ícaro Servicios</t>
        </is>
      </c>
      <c r="D429" t="inlineStr">
        <is>
          <t>Norte</t>
        </is>
      </c>
      <c r="E429" t="inlineStr">
        <is>
          <t>Consultoría (hora)</t>
        </is>
      </c>
      <c r="F429" t="inlineStr">
        <is>
          <t>Servicios</t>
        </is>
      </c>
      <c r="G429" t="n">
        <v>1</v>
      </c>
      <c r="H429" s="3" t="n">
        <v>87.53</v>
      </c>
      <c r="I429" s="3" t="n">
        <v>62.84</v>
      </c>
      <c r="J429" s="3" t="n">
        <v>87.53</v>
      </c>
    </row>
    <row r="430">
      <c r="A430" s="2" t="n">
        <v>46369</v>
      </c>
      <c r="B430" t="inlineStr">
        <is>
          <t>Carla</t>
        </is>
      </c>
      <c r="C430" t="inlineStr">
        <is>
          <t>Delta S.A.</t>
        </is>
      </c>
      <c r="D430" t="inlineStr">
        <is>
          <t>Norte</t>
        </is>
      </c>
      <c r="E430" t="inlineStr">
        <is>
          <t>Consultoría (hora)</t>
        </is>
      </c>
      <c r="F430" t="inlineStr">
        <is>
          <t>Servicios</t>
        </is>
      </c>
      <c r="G430" t="n">
        <v>1</v>
      </c>
      <c r="H430" s="3" t="n">
        <v>94.03</v>
      </c>
      <c r="I430" s="3" t="n">
        <v>66.76000000000001</v>
      </c>
      <c r="J430" s="3" t="n">
        <v>94.03</v>
      </c>
    </row>
    <row r="431">
      <c r="A431" s="2" t="n">
        <v>46383</v>
      </c>
      <c r="B431" t="inlineStr">
        <is>
          <t>Luis</t>
        </is>
      </c>
      <c r="C431" t="inlineStr">
        <is>
          <t>Andes S.A.</t>
        </is>
      </c>
      <c r="D431" t="inlineStr">
        <is>
          <t>Sur</t>
        </is>
      </c>
      <c r="E431" t="inlineStr">
        <is>
          <t>Capacitación</t>
        </is>
      </c>
      <c r="F431" t="inlineStr">
        <is>
          <t>Formación</t>
        </is>
      </c>
      <c r="G431" t="n">
        <v>1</v>
      </c>
      <c r="H431" s="3" t="n">
        <v>290.21</v>
      </c>
      <c r="I431" s="3" t="n">
        <v>186.25</v>
      </c>
      <c r="J431" s="3" t="n">
        <v>290.21</v>
      </c>
    </row>
    <row r="432">
      <c r="A432" s="2" t="n">
        <v>46371</v>
      </c>
      <c r="B432" t="inlineStr">
        <is>
          <t>Jorge</t>
        </is>
      </c>
      <c r="C432" t="inlineStr">
        <is>
          <t>Nexo Logística</t>
        </is>
      </c>
      <c r="D432" t="inlineStr">
        <is>
          <t>Norte</t>
        </is>
      </c>
      <c r="E432" t="inlineStr">
        <is>
          <t>Capacitación</t>
        </is>
      </c>
      <c r="F432" t="inlineStr">
        <is>
          <t>Formación</t>
        </is>
      </c>
      <c r="G432" t="n">
        <v>1</v>
      </c>
      <c r="H432" s="3" t="n">
        <v>301.49</v>
      </c>
      <c r="I432" s="3" t="n">
        <v>190.49</v>
      </c>
      <c r="J432" s="3" t="n">
        <v>301.49</v>
      </c>
    </row>
    <row r="433">
      <c r="A433" s="2" t="n">
        <v>46377</v>
      </c>
      <c r="B433" t="inlineStr">
        <is>
          <t>Luis</t>
        </is>
      </c>
      <c r="C433" t="inlineStr">
        <is>
          <t>Gama Tech</t>
        </is>
      </c>
      <c r="D433" t="inlineStr">
        <is>
          <t>Centro</t>
        </is>
      </c>
      <c r="E433" t="inlineStr">
        <is>
          <t>Consultoría (hora)</t>
        </is>
      </c>
      <c r="F433" t="inlineStr">
        <is>
          <t>Servicios</t>
        </is>
      </c>
      <c r="G433" t="n">
        <v>1</v>
      </c>
      <c r="H433" s="3" t="n">
        <v>102.97</v>
      </c>
      <c r="I433" s="3" t="n">
        <v>76.26000000000001</v>
      </c>
      <c r="J433" s="3" t="n">
        <v>102.97</v>
      </c>
    </row>
    <row r="434">
      <c r="A434" s="2" t="n">
        <v>46361</v>
      </c>
      <c r="B434" t="inlineStr">
        <is>
          <t>Ana</t>
        </is>
      </c>
      <c r="C434" t="inlineStr">
        <is>
          <t>Puna Ltda.</t>
        </is>
      </c>
      <c r="D434" t="inlineStr">
        <is>
          <t>Norte</t>
        </is>
      </c>
      <c r="E434" t="inlineStr">
        <is>
          <t>Soporte mensual</t>
        </is>
      </c>
      <c r="F434" t="inlineStr">
        <is>
          <t>Servicios</t>
        </is>
      </c>
      <c r="G434" t="n">
        <v>1</v>
      </c>
      <c r="H434" s="3" t="n">
        <v>249.7</v>
      </c>
      <c r="I434" s="3" t="n">
        <v>157.15</v>
      </c>
      <c r="J434" s="3" t="n">
        <v>249.7</v>
      </c>
    </row>
    <row r="435">
      <c r="A435" s="2" t="n">
        <v>46361</v>
      </c>
      <c r="B435" t="inlineStr">
        <is>
          <t>Ana</t>
        </is>
      </c>
      <c r="C435" t="inlineStr">
        <is>
          <t>Delta Tech</t>
        </is>
      </c>
      <c r="D435" t="inlineStr">
        <is>
          <t>Centro</t>
        </is>
      </c>
      <c r="E435" t="inlineStr">
        <is>
          <t>Licencia anual</t>
        </is>
      </c>
      <c r="F435" t="inlineStr">
        <is>
          <t>Software</t>
        </is>
      </c>
      <c r="G435" t="n">
        <v>1</v>
      </c>
      <c r="H435" s="3" t="n">
        <v>475.31</v>
      </c>
      <c r="I435" s="3" t="n">
        <v>345.69</v>
      </c>
      <c r="J435" s="3" t="n">
        <v>475.31</v>
      </c>
    </row>
    <row r="436">
      <c r="A436" s="2" t="n">
        <v>46375</v>
      </c>
      <c r="B436" t="inlineStr">
        <is>
          <t>Ana</t>
        </is>
      </c>
      <c r="C436" t="inlineStr">
        <is>
          <t>Ola Logística</t>
        </is>
      </c>
      <c r="D436" t="inlineStr">
        <is>
          <t>Centro</t>
        </is>
      </c>
      <c r="E436" t="inlineStr">
        <is>
          <t>Soporte mensual</t>
        </is>
      </c>
      <c r="F436" t="inlineStr">
        <is>
          <t>Servicios</t>
        </is>
      </c>
      <c r="G436" t="n">
        <v>1</v>
      </c>
      <c r="H436" s="3" t="n">
        <v>235.63</v>
      </c>
      <c r="I436" s="3" t="n">
        <v>158.76</v>
      </c>
      <c r="J436" s="3" t="n">
        <v>235.63</v>
      </c>
    </row>
    <row r="437">
      <c r="A437" s="2" t="n">
        <v>46382</v>
      </c>
      <c r="B437" t="inlineStr">
        <is>
          <t>Luis</t>
        </is>
      </c>
      <c r="C437" t="inlineStr">
        <is>
          <t>Ícaro Import</t>
        </is>
      </c>
      <c r="D437" t="inlineStr">
        <is>
          <t>Norte</t>
        </is>
      </c>
      <c r="E437" t="inlineStr">
        <is>
          <t>Capacitación</t>
        </is>
      </c>
      <c r="F437" t="inlineStr">
        <is>
          <t>Formación</t>
        </is>
      </c>
      <c r="G437" t="n">
        <v>1</v>
      </c>
      <c r="H437" s="3" t="n">
        <v>347.95</v>
      </c>
      <c r="I437" s="3" t="n">
        <v>219.11</v>
      </c>
      <c r="J437" s="3" t="n">
        <v>347.95</v>
      </c>
    </row>
    <row r="438">
      <c r="A438" s="2" t="n">
        <v>46370</v>
      </c>
      <c r="B438" t="inlineStr">
        <is>
          <t>Carla</t>
        </is>
      </c>
      <c r="C438" t="inlineStr">
        <is>
          <t>Tika Comercial</t>
        </is>
      </c>
      <c r="D438" t="inlineStr">
        <is>
          <t>Norte</t>
        </is>
      </c>
      <c r="E438" t="inlineStr">
        <is>
          <t>Consultoría (hora)</t>
        </is>
      </c>
      <c r="F438" t="inlineStr">
        <is>
          <t>Servicios</t>
        </is>
      </c>
      <c r="G438" t="n">
        <v>1</v>
      </c>
      <c r="H438" s="3" t="n">
        <v>98.29000000000001</v>
      </c>
      <c r="I438" s="3" t="n">
        <v>71.08</v>
      </c>
      <c r="J438" s="3" t="n">
        <v>98.29000000000001</v>
      </c>
    </row>
    <row r="439">
      <c r="A439" s="2" t="n">
        <v>46368</v>
      </c>
      <c r="B439" t="inlineStr">
        <is>
          <t>Jorge</t>
        </is>
      </c>
      <c r="C439" t="inlineStr">
        <is>
          <t>Quipu S.A.</t>
        </is>
      </c>
      <c r="D439" t="inlineStr">
        <is>
          <t>Sur</t>
        </is>
      </c>
      <c r="E439" t="inlineStr">
        <is>
          <t>Capacitación</t>
        </is>
      </c>
      <c r="F439" t="inlineStr">
        <is>
          <t>Formación</t>
        </is>
      </c>
      <c r="G439" t="n">
        <v>1</v>
      </c>
      <c r="H439" s="3" t="n">
        <v>324.49</v>
      </c>
      <c r="I439" s="3" t="n">
        <v>224.72</v>
      </c>
      <c r="J439" s="3" t="n">
        <v>324.49</v>
      </c>
    </row>
    <row r="440">
      <c r="A440" s="2" t="n">
        <v>46373</v>
      </c>
      <c r="B440" t="inlineStr">
        <is>
          <t>Ana</t>
        </is>
      </c>
      <c r="C440" t="inlineStr">
        <is>
          <t>Huaca Logística</t>
        </is>
      </c>
      <c r="D440" t="inlineStr">
        <is>
          <t>Norte</t>
        </is>
      </c>
      <c r="E440" t="inlineStr">
        <is>
          <t>Capacitación</t>
        </is>
      </c>
      <c r="F440" t="inlineStr">
        <is>
          <t>Formación</t>
        </is>
      </c>
      <c r="G440" t="n">
        <v>1</v>
      </c>
      <c r="H440" s="3" t="n">
        <v>333.25</v>
      </c>
      <c r="I440" s="3" t="n">
        <v>215.05</v>
      </c>
      <c r="J440" s="3" t="n">
        <v>333.25</v>
      </c>
    </row>
    <row r="441">
      <c r="A441" s="2" t="n">
        <v>46358</v>
      </c>
      <c r="B441" t="inlineStr">
        <is>
          <t>Luis</t>
        </is>
      </c>
      <c r="C441" t="inlineStr">
        <is>
          <t>Gama Tech</t>
        </is>
      </c>
      <c r="D441" t="inlineStr">
        <is>
          <t>Centro</t>
        </is>
      </c>
      <c r="E441" t="inlineStr">
        <is>
          <t>Capacitación</t>
        </is>
      </c>
      <c r="F441" t="inlineStr">
        <is>
          <t>Formación</t>
        </is>
      </c>
      <c r="G441" t="n">
        <v>1</v>
      </c>
      <c r="H441" s="3" t="n">
        <v>293.87</v>
      </c>
      <c r="I441" s="3" t="n">
        <v>186.26</v>
      </c>
      <c r="J441" s="3" t="n">
        <v>293.87</v>
      </c>
    </row>
    <row r="442">
      <c r="A442" s="2" t="n">
        <v>46377</v>
      </c>
      <c r="B442" t="inlineStr">
        <is>
          <t>Carla</t>
        </is>
      </c>
      <c r="C442" t="inlineStr">
        <is>
          <t>Lago Logística</t>
        </is>
      </c>
      <c r="D442" t="inlineStr">
        <is>
          <t>Norte</t>
        </is>
      </c>
      <c r="E442" t="inlineStr">
        <is>
          <t>Soporte mensual</t>
        </is>
      </c>
      <c r="F442" t="inlineStr">
        <is>
          <t>Servicios</t>
        </is>
      </c>
      <c r="G442" t="n">
        <v>1</v>
      </c>
      <c r="H442" s="3" t="n">
        <v>228.83</v>
      </c>
      <c r="I442" s="3" t="n">
        <v>148.88</v>
      </c>
      <c r="J442" s="3" t="n">
        <v>228.83</v>
      </c>
    </row>
    <row r="443">
      <c r="A443" s="2" t="n">
        <v>46372</v>
      </c>
      <c r="B443" t="inlineStr">
        <is>
          <t>Luis</t>
        </is>
      </c>
      <c r="C443" t="inlineStr">
        <is>
          <t>Huaca Foods</t>
        </is>
      </c>
      <c r="D443" t="inlineStr">
        <is>
          <t>Centro</t>
        </is>
      </c>
      <c r="E443" t="inlineStr">
        <is>
          <t>Soporte mensual</t>
        </is>
      </c>
      <c r="F443" t="inlineStr">
        <is>
          <t>Servicios</t>
        </is>
      </c>
      <c r="G443" t="n">
        <v>1</v>
      </c>
      <c r="H443" s="3" t="n">
        <v>262</v>
      </c>
      <c r="I443" s="3" t="n">
        <v>188.05</v>
      </c>
      <c r="J443" s="3" t="n">
        <v>262</v>
      </c>
    </row>
    <row r="444">
      <c r="A444" s="2" t="n">
        <v>46371</v>
      </c>
      <c r="B444" t="inlineStr">
        <is>
          <t>Jorge</t>
        </is>
      </c>
      <c r="C444" t="inlineStr">
        <is>
          <t>Lago Ltda.</t>
        </is>
      </c>
      <c r="D444" t="inlineStr">
        <is>
          <t>Centro</t>
        </is>
      </c>
      <c r="E444" t="inlineStr">
        <is>
          <t>Consultoría (hora)</t>
        </is>
      </c>
      <c r="F444" t="inlineStr">
        <is>
          <t>Servicios</t>
        </is>
      </c>
      <c r="G444" t="n">
        <v>1</v>
      </c>
      <c r="H444" s="3" t="n">
        <v>104.31</v>
      </c>
      <c r="I444" s="3" t="n">
        <v>67.98999999999999</v>
      </c>
      <c r="J444" s="3" t="n">
        <v>104.31</v>
      </c>
    </row>
    <row r="445">
      <c r="A445" s="2" t="n">
        <v>46362</v>
      </c>
      <c r="B445" t="inlineStr">
        <is>
          <t>Jorge</t>
        </is>
      </c>
      <c r="C445" t="inlineStr">
        <is>
          <t>Puna Comercial</t>
        </is>
      </c>
      <c r="D445" t="inlineStr">
        <is>
          <t>Norte</t>
        </is>
      </c>
      <c r="E445" t="inlineStr">
        <is>
          <t>Consultoría (hora)</t>
        </is>
      </c>
      <c r="F445" t="inlineStr">
        <is>
          <t>Servicios</t>
        </is>
      </c>
      <c r="G445" t="n">
        <v>1</v>
      </c>
      <c r="H445" s="3" t="n">
        <v>93.08</v>
      </c>
      <c r="I445" s="3" t="n">
        <v>63.88</v>
      </c>
      <c r="J445" s="3" t="n">
        <v>93.08</v>
      </c>
    </row>
    <row r="446">
      <c r="A446" s="2" t="n">
        <v>46368</v>
      </c>
      <c r="B446" t="inlineStr">
        <is>
          <t>Luis</t>
        </is>
      </c>
      <c r="C446" t="inlineStr">
        <is>
          <t>Quipu Ltda.</t>
        </is>
      </c>
      <c r="D446" t="inlineStr">
        <is>
          <t>Centro</t>
        </is>
      </c>
      <c r="E446" t="inlineStr">
        <is>
          <t>Capacitación</t>
        </is>
      </c>
      <c r="F446" t="inlineStr">
        <is>
          <t>Formación</t>
        </is>
      </c>
      <c r="G446" t="n">
        <v>1</v>
      </c>
      <c r="H446" s="3" t="n">
        <v>306.75</v>
      </c>
      <c r="I446" s="3" t="n">
        <v>214.85</v>
      </c>
      <c r="J446" s="3" t="n">
        <v>306.75</v>
      </c>
    </row>
    <row r="447">
      <c r="A447" s="2" t="n">
        <v>46376</v>
      </c>
      <c r="B447" t="inlineStr">
        <is>
          <t>Luis</t>
        </is>
      </c>
      <c r="C447" t="inlineStr">
        <is>
          <t>Jade Servicios</t>
        </is>
      </c>
      <c r="D447" t="inlineStr">
        <is>
          <t>Norte</t>
        </is>
      </c>
      <c r="E447" t="inlineStr">
        <is>
          <t>Soporte mensual</t>
        </is>
      </c>
      <c r="F447" t="inlineStr">
        <is>
          <t>Servicios</t>
        </is>
      </c>
      <c r="G447" t="n">
        <v>1</v>
      </c>
      <c r="H447" s="3" t="n">
        <v>258.81</v>
      </c>
      <c r="I447" s="3" t="n">
        <v>182.58</v>
      </c>
      <c r="J447" s="3" t="n">
        <v>258.81</v>
      </c>
    </row>
    <row r="448">
      <c r="A448" s="2" t="n">
        <v>46360</v>
      </c>
      <c r="B448" t="inlineStr">
        <is>
          <t>Luis</t>
        </is>
      </c>
      <c r="C448" t="inlineStr">
        <is>
          <t>Río S.A.C.</t>
        </is>
      </c>
      <c r="D448" t="inlineStr">
        <is>
          <t>Norte</t>
        </is>
      </c>
      <c r="E448" t="inlineStr">
        <is>
          <t>Consultoría (hora)</t>
        </is>
      </c>
      <c r="F448" t="inlineStr">
        <is>
          <t>Servicios</t>
        </is>
      </c>
      <c r="G448" t="n">
        <v>1</v>
      </c>
      <c r="H448" s="3" t="n">
        <v>101.21</v>
      </c>
      <c r="I448" s="3" t="n">
        <v>68.72</v>
      </c>
      <c r="J448" s="3" t="n">
        <v>101.21</v>
      </c>
    </row>
    <row r="449">
      <c r="A449" s="2" t="n">
        <v>46358</v>
      </c>
      <c r="B449" t="inlineStr">
        <is>
          <t>Luis</t>
        </is>
      </c>
      <c r="C449" t="inlineStr">
        <is>
          <t>Andes Tech</t>
        </is>
      </c>
      <c r="D449" t="inlineStr">
        <is>
          <t>Norte</t>
        </is>
      </c>
      <c r="E449" t="inlineStr">
        <is>
          <t>Capacitación</t>
        </is>
      </c>
      <c r="F449" t="inlineStr">
        <is>
          <t>Formación</t>
        </is>
      </c>
      <c r="G449" t="n">
        <v>1</v>
      </c>
      <c r="H449" s="3" t="n">
        <v>349.22</v>
      </c>
      <c r="I449" s="3" t="n">
        <v>233.01</v>
      </c>
      <c r="J449" s="3" t="n">
        <v>349.22</v>
      </c>
    </row>
    <row r="450">
      <c r="A450" s="2" t="n">
        <v>46382</v>
      </c>
      <c r="B450" t="inlineStr">
        <is>
          <t>Carla</t>
        </is>
      </c>
      <c r="C450" t="inlineStr">
        <is>
          <t>Río Retail</t>
        </is>
      </c>
      <c r="D450" t="inlineStr">
        <is>
          <t>Norte</t>
        </is>
      </c>
      <c r="E450" t="inlineStr">
        <is>
          <t>Consultoría (hora)</t>
        </is>
      </c>
      <c r="F450" t="inlineStr">
        <is>
          <t>Servicios</t>
        </is>
      </c>
      <c r="G450" t="n">
        <v>1</v>
      </c>
      <c r="H450" s="3" t="n">
        <v>101.72</v>
      </c>
      <c r="I450" s="3" t="n">
        <v>67.53</v>
      </c>
      <c r="J450" s="3" t="n">
        <v>101.72</v>
      </c>
    </row>
    <row r="451">
      <c r="A451" s="2" t="n">
        <v>46382</v>
      </c>
      <c r="B451" t="inlineStr">
        <is>
          <t>Ana</t>
        </is>
      </c>
      <c r="C451" t="inlineStr">
        <is>
          <t>Jade Retail</t>
        </is>
      </c>
      <c r="D451" t="inlineStr">
        <is>
          <t>Norte</t>
        </is>
      </c>
      <c r="E451" t="inlineStr">
        <is>
          <t>Consultoría (hora)</t>
        </is>
      </c>
      <c r="F451" t="inlineStr">
        <is>
          <t>Servicios</t>
        </is>
      </c>
      <c r="G451" t="n">
        <v>1</v>
      </c>
      <c r="H451" s="3" t="n">
        <v>101.96</v>
      </c>
      <c r="I451" s="3" t="n">
        <v>64.18000000000001</v>
      </c>
      <c r="J451" s="3" t="n">
        <v>101.96</v>
      </c>
    </row>
    <row r="452">
      <c r="A452" s="2" t="n">
        <v>46372</v>
      </c>
      <c r="B452" t="inlineStr">
        <is>
          <t>Carla</t>
        </is>
      </c>
      <c r="C452" t="inlineStr">
        <is>
          <t>Jade S.A.</t>
        </is>
      </c>
      <c r="D452" t="inlineStr">
        <is>
          <t>Centro</t>
        </is>
      </c>
      <c r="E452" t="inlineStr">
        <is>
          <t>Licencia anual</t>
        </is>
      </c>
      <c r="F452" t="inlineStr">
        <is>
          <t>Software</t>
        </is>
      </c>
      <c r="G452" t="n">
        <v>1</v>
      </c>
      <c r="H452" s="3" t="n">
        <v>472.03</v>
      </c>
      <c r="I452" s="3" t="n">
        <v>348.96</v>
      </c>
      <c r="J452" s="3" t="n">
        <v>472.03</v>
      </c>
    </row>
    <row r="453">
      <c r="A453" s="2" t="n">
        <v>46377</v>
      </c>
      <c r="B453" t="inlineStr">
        <is>
          <t>Carla</t>
        </is>
      </c>
      <c r="C453" t="inlineStr">
        <is>
          <t>Quipu S.A.C.</t>
        </is>
      </c>
      <c r="D453" t="inlineStr">
        <is>
          <t>Centro</t>
        </is>
      </c>
      <c r="E453" t="inlineStr">
        <is>
          <t>Soporte mensual</t>
        </is>
      </c>
      <c r="F453" t="inlineStr">
        <is>
          <t>Servicios</t>
        </is>
      </c>
      <c r="G453" t="n">
        <v>1</v>
      </c>
      <c r="H453" s="3" t="n">
        <v>266.35</v>
      </c>
      <c r="I453" s="3" t="n">
        <v>169.15</v>
      </c>
      <c r="J453" s="3" t="n">
        <v>266.35</v>
      </c>
    </row>
    <row r="454">
      <c r="A454" s="2" t="n">
        <v>46367</v>
      </c>
      <c r="B454" t="inlineStr">
        <is>
          <t>Ana</t>
        </is>
      </c>
      <c r="C454" t="inlineStr">
        <is>
          <t>Jade Foods</t>
        </is>
      </c>
      <c r="D454" t="inlineStr">
        <is>
          <t>Centro</t>
        </is>
      </c>
      <c r="E454" t="inlineStr">
        <is>
          <t>Soporte mensual</t>
        </is>
      </c>
      <c r="F454" t="inlineStr">
        <is>
          <t>Servicios</t>
        </is>
      </c>
      <c r="G454" t="n">
        <v>1</v>
      </c>
      <c r="H454" s="3" t="n">
        <v>247.31</v>
      </c>
      <c r="I454" s="3" t="n">
        <v>152.56</v>
      </c>
      <c r="J454" s="3" t="n">
        <v>247.31</v>
      </c>
    </row>
    <row r="455">
      <c r="A455" s="2" t="n">
        <v>46381</v>
      </c>
      <c r="B455" t="inlineStr">
        <is>
          <t>Luis</t>
        </is>
      </c>
      <c r="C455" t="inlineStr">
        <is>
          <t>Lago S.A.</t>
        </is>
      </c>
      <c r="D455" t="inlineStr">
        <is>
          <t>Centro</t>
        </is>
      </c>
      <c r="E455" t="inlineStr">
        <is>
          <t>Licencia anual</t>
        </is>
      </c>
      <c r="F455" t="inlineStr">
        <is>
          <t>Software</t>
        </is>
      </c>
      <c r="G455" t="n">
        <v>1</v>
      </c>
      <c r="H455" s="3" t="n">
        <v>418.68</v>
      </c>
      <c r="I455" s="3" t="n">
        <v>303.06</v>
      </c>
      <c r="J455" s="3" t="n">
        <v>418.68</v>
      </c>
    </row>
    <row r="456">
      <c r="A456" s="2" t="n">
        <v>46362</v>
      </c>
      <c r="B456" t="inlineStr">
        <is>
          <t>Jorge</t>
        </is>
      </c>
      <c r="C456" t="inlineStr">
        <is>
          <t>Kora Ltda.</t>
        </is>
      </c>
      <c r="D456" t="inlineStr">
        <is>
          <t>Sur</t>
        </is>
      </c>
      <c r="E456" t="inlineStr">
        <is>
          <t>Capacitación</t>
        </is>
      </c>
      <c r="F456" t="inlineStr">
        <is>
          <t>Formación</t>
        </is>
      </c>
      <c r="G456" t="n">
        <v>1</v>
      </c>
      <c r="H456" s="3" t="n">
        <v>291.38</v>
      </c>
      <c r="I456" s="3" t="n">
        <v>199.45</v>
      </c>
      <c r="J456" s="3" t="n">
        <v>291.38</v>
      </c>
    </row>
    <row r="457">
      <c r="A457" s="2" t="n">
        <v>46376</v>
      </c>
      <c r="B457" t="inlineStr">
        <is>
          <t>Luis</t>
        </is>
      </c>
      <c r="C457" t="inlineStr">
        <is>
          <t>Nexo Tech</t>
        </is>
      </c>
      <c r="D457" t="inlineStr">
        <is>
          <t>Centro</t>
        </is>
      </c>
      <c r="E457" t="inlineStr">
        <is>
          <t>Soporte mensual</t>
        </is>
      </c>
      <c r="F457" t="inlineStr">
        <is>
          <t>Servicios</t>
        </is>
      </c>
      <c r="G457" t="n">
        <v>1</v>
      </c>
      <c r="H457" s="3" t="n">
        <v>272.86</v>
      </c>
      <c r="I457" s="3" t="n">
        <v>165.7</v>
      </c>
      <c r="J457" s="3" t="n">
        <v>272.86</v>
      </c>
    </row>
    <row r="458">
      <c r="A458" s="2" t="n">
        <v>46380</v>
      </c>
      <c r="B458" t="inlineStr">
        <is>
          <t>Jorge</t>
        </is>
      </c>
      <c r="C458" t="inlineStr">
        <is>
          <t>Andes S.A.C.</t>
        </is>
      </c>
      <c r="D458" t="inlineStr">
        <is>
          <t>Sur</t>
        </is>
      </c>
      <c r="E458" t="inlineStr">
        <is>
          <t>Licencia anual</t>
        </is>
      </c>
      <c r="F458" t="inlineStr">
        <is>
          <t>Software</t>
        </is>
      </c>
      <c r="G458" t="n">
        <v>1</v>
      </c>
      <c r="H458" s="3" t="n">
        <v>468.89</v>
      </c>
      <c r="I458" s="3" t="n">
        <v>285.65</v>
      </c>
      <c r="J458" s="3" t="n">
        <v>468.89</v>
      </c>
    </row>
    <row r="459">
      <c r="A459" s="2" t="n">
        <v>46361</v>
      </c>
      <c r="B459" t="inlineStr">
        <is>
          <t>Luis</t>
        </is>
      </c>
      <c r="C459" t="inlineStr">
        <is>
          <t>Lago Ltda.</t>
        </is>
      </c>
      <c r="D459" t="inlineStr">
        <is>
          <t>Centro</t>
        </is>
      </c>
      <c r="E459" t="inlineStr">
        <is>
          <t>Licencia anual</t>
        </is>
      </c>
      <c r="F459" t="inlineStr">
        <is>
          <t>Software</t>
        </is>
      </c>
      <c r="G459" t="n">
        <v>1</v>
      </c>
      <c r="H459" s="3" t="n">
        <v>487.5</v>
      </c>
      <c r="I459" s="3" t="n">
        <v>325.42</v>
      </c>
      <c r="J459" s="3" t="n">
        <v>487.5</v>
      </c>
    </row>
    <row r="460">
      <c r="A460" s="2" t="n">
        <v>46361</v>
      </c>
      <c r="B460" t="inlineStr">
        <is>
          <t>Jorge</t>
        </is>
      </c>
      <c r="C460" t="inlineStr">
        <is>
          <t>Gama Logística</t>
        </is>
      </c>
      <c r="D460" t="inlineStr">
        <is>
          <t>Centro</t>
        </is>
      </c>
      <c r="E460" t="inlineStr">
        <is>
          <t>Capacitación</t>
        </is>
      </c>
      <c r="F460" t="inlineStr">
        <is>
          <t>Formación</t>
        </is>
      </c>
      <c r="G460" t="n">
        <v>1</v>
      </c>
      <c r="H460" s="3" t="n">
        <v>301.51</v>
      </c>
      <c r="I460" s="3" t="n">
        <v>196.7</v>
      </c>
      <c r="J460" s="3" t="n">
        <v>301.51</v>
      </c>
    </row>
    <row r="461">
      <c r="A461" s="2" t="n">
        <v>46383</v>
      </c>
      <c r="B461" t="inlineStr">
        <is>
          <t>Ana</t>
        </is>
      </c>
      <c r="C461" t="inlineStr">
        <is>
          <t>Eco Comercial</t>
        </is>
      </c>
      <c r="D461" t="inlineStr">
        <is>
          <t>Centro</t>
        </is>
      </c>
      <c r="E461" t="inlineStr">
        <is>
          <t>Capacitación</t>
        </is>
      </c>
      <c r="F461" t="inlineStr">
        <is>
          <t>Formación</t>
        </is>
      </c>
      <c r="G461" t="n">
        <v>1</v>
      </c>
      <c r="H461" s="3" t="n">
        <v>349.74</v>
      </c>
      <c r="I461" s="3" t="n">
        <v>235.27</v>
      </c>
      <c r="J461" s="3" t="n">
        <v>349.74</v>
      </c>
    </row>
    <row r="462">
      <c r="A462" s="2" t="n">
        <v>46375</v>
      </c>
      <c r="B462" t="inlineStr">
        <is>
          <t>Jorge</t>
        </is>
      </c>
      <c r="C462" t="inlineStr">
        <is>
          <t>Nexo Retail</t>
        </is>
      </c>
      <c r="D462" t="inlineStr">
        <is>
          <t>Centro</t>
        </is>
      </c>
      <c r="E462" t="inlineStr">
        <is>
          <t>Licencia anual</t>
        </is>
      </c>
      <c r="F462" t="inlineStr">
        <is>
          <t>Software</t>
        </is>
      </c>
      <c r="G462" t="n">
        <v>1</v>
      </c>
      <c r="H462" s="3" t="n">
        <v>493.43</v>
      </c>
      <c r="I462" s="3" t="n">
        <v>354.01</v>
      </c>
      <c r="J462" s="3" t="n">
        <v>493.43</v>
      </c>
    </row>
    <row r="463">
      <c r="A463" s="2" t="n">
        <v>46365</v>
      </c>
      <c r="B463" t="inlineStr">
        <is>
          <t>Jorge</t>
        </is>
      </c>
      <c r="C463" t="inlineStr">
        <is>
          <t>Quipu Servicios</t>
        </is>
      </c>
      <c r="D463" t="inlineStr">
        <is>
          <t>Norte</t>
        </is>
      </c>
      <c r="E463" t="inlineStr">
        <is>
          <t>Licencia anual</t>
        </is>
      </c>
      <c r="F463" t="inlineStr">
        <is>
          <t>Software</t>
        </is>
      </c>
      <c r="G463" t="n">
        <v>1</v>
      </c>
      <c r="H463" s="3" t="n">
        <v>462.87</v>
      </c>
      <c r="I463" s="3" t="n">
        <v>346.22</v>
      </c>
      <c r="J463" s="3" t="n">
        <v>462.87</v>
      </c>
    </row>
    <row r="464">
      <c r="A464" s="2" t="n">
        <v>46357</v>
      </c>
      <c r="B464" t="inlineStr">
        <is>
          <t>Carla</t>
        </is>
      </c>
      <c r="C464" t="inlineStr">
        <is>
          <t>Sol Import</t>
        </is>
      </c>
      <c r="D464" t="inlineStr">
        <is>
          <t>Sur</t>
        </is>
      </c>
      <c r="E464" t="inlineStr">
        <is>
          <t>Consultoría (hora)</t>
        </is>
      </c>
      <c r="F464" t="inlineStr">
        <is>
          <t>Servicios</t>
        </is>
      </c>
      <c r="G464" t="n">
        <v>1</v>
      </c>
      <c r="H464" s="3" t="n">
        <v>103.04</v>
      </c>
      <c r="I464" s="3" t="n">
        <v>75.63</v>
      </c>
      <c r="J464" s="3" t="n">
        <v>103.04</v>
      </c>
    </row>
    <row r="465">
      <c r="A465" s="2" t="n">
        <v>46380</v>
      </c>
      <c r="B465" t="inlineStr">
        <is>
          <t>Jorge</t>
        </is>
      </c>
      <c r="C465" t="inlineStr">
        <is>
          <t>Delta Servicios</t>
        </is>
      </c>
      <c r="D465" t="inlineStr">
        <is>
          <t>Centro</t>
        </is>
      </c>
      <c r="E465" t="inlineStr">
        <is>
          <t>Licencia anual</t>
        </is>
      </c>
      <c r="F465" t="inlineStr">
        <is>
          <t>Software</t>
        </is>
      </c>
      <c r="G465" t="n">
        <v>1</v>
      </c>
      <c r="H465" s="3" t="n">
        <v>493.69</v>
      </c>
      <c r="I465" s="3" t="n">
        <v>316.29</v>
      </c>
      <c r="J465" s="3" t="n">
        <v>493.69</v>
      </c>
    </row>
    <row r="466">
      <c r="A466" s="2" t="n">
        <v>46362</v>
      </c>
      <c r="B466" t="inlineStr">
        <is>
          <t>Jorge</t>
        </is>
      </c>
      <c r="C466" t="inlineStr">
        <is>
          <t>Quipu Logística</t>
        </is>
      </c>
      <c r="D466" t="inlineStr">
        <is>
          <t>Sur</t>
        </is>
      </c>
      <c r="E466" t="inlineStr">
        <is>
          <t>Licencia anual</t>
        </is>
      </c>
      <c r="F466" t="inlineStr">
        <is>
          <t>Software</t>
        </is>
      </c>
      <c r="G466" t="n">
        <v>1</v>
      </c>
      <c r="H466" s="3" t="n">
        <v>492.77</v>
      </c>
      <c r="I466" s="3" t="n">
        <v>333.26</v>
      </c>
      <c r="J466" s="3" t="n">
        <v>492.77</v>
      </c>
    </row>
    <row r="467">
      <c r="A467" s="2" t="n">
        <v>46383</v>
      </c>
      <c r="B467" t="inlineStr">
        <is>
          <t>Ana</t>
        </is>
      </c>
      <c r="C467" t="inlineStr">
        <is>
          <t>Fénix Ltda.</t>
        </is>
      </c>
      <c r="D467" t="inlineStr">
        <is>
          <t>Norte</t>
        </is>
      </c>
      <c r="E467" t="inlineStr">
        <is>
          <t>Soporte mensual</t>
        </is>
      </c>
      <c r="F467" t="inlineStr">
        <is>
          <t>Servicios</t>
        </is>
      </c>
      <c r="G467" t="n">
        <v>1</v>
      </c>
      <c r="H467" s="3" t="n">
        <v>226.29</v>
      </c>
      <c r="I467" s="3" t="n">
        <v>161.24</v>
      </c>
      <c r="J467" s="3" t="n">
        <v>226.29</v>
      </c>
    </row>
    <row r="468">
      <c r="A468" s="2" t="n">
        <v>46376</v>
      </c>
      <c r="B468" t="inlineStr">
        <is>
          <t>Jorge</t>
        </is>
      </c>
      <c r="C468" t="inlineStr">
        <is>
          <t>Ícaro S.A.</t>
        </is>
      </c>
      <c r="D468" t="inlineStr">
        <is>
          <t>Norte</t>
        </is>
      </c>
      <c r="E468" t="inlineStr">
        <is>
          <t>Consultoría (hora)</t>
        </is>
      </c>
      <c r="F468" t="inlineStr">
        <is>
          <t>Servicios</t>
        </is>
      </c>
      <c r="G468" t="n">
        <v>1</v>
      </c>
      <c r="H468" s="3" t="n">
        <v>88.64</v>
      </c>
      <c r="I468" s="3" t="n">
        <v>59.36</v>
      </c>
      <c r="J468" s="3" t="n">
        <v>88.64</v>
      </c>
    </row>
    <row r="469">
      <c r="A469" s="2" t="n">
        <v>46377</v>
      </c>
      <c r="B469" t="inlineStr">
        <is>
          <t>Carla</t>
        </is>
      </c>
      <c r="C469" t="inlineStr">
        <is>
          <t>Puna Logística</t>
        </is>
      </c>
      <c r="D469" t="inlineStr">
        <is>
          <t>Centro</t>
        </is>
      </c>
      <c r="E469" t="inlineStr">
        <is>
          <t>Licencia anual</t>
        </is>
      </c>
      <c r="F469" t="inlineStr">
        <is>
          <t>Software</t>
        </is>
      </c>
      <c r="G469" t="n">
        <v>1</v>
      </c>
      <c r="H469" s="3" t="n">
        <v>441.14</v>
      </c>
      <c r="I469" s="3" t="n">
        <v>276.86</v>
      </c>
      <c r="J469" s="3" t="n">
        <v>441.14</v>
      </c>
    </row>
    <row r="470">
      <c r="A470" s="2" t="n">
        <v>46374</v>
      </c>
      <c r="B470" t="inlineStr">
        <is>
          <t>Ana</t>
        </is>
      </c>
      <c r="C470" t="inlineStr">
        <is>
          <t>Lago S.A.</t>
        </is>
      </c>
      <c r="D470" t="inlineStr">
        <is>
          <t>Centro</t>
        </is>
      </c>
      <c r="E470" t="inlineStr">
        <is>
          <t>Licencia anual</t>
        </is>
      </c>
      <c r="F470" t="inlineStr">
        <is>
          <t>Software</t>
        </is>
      </c>
      <c r="G470" t="n">
        <v>1</v>
      </c>
      <c r="H470" s="3" t="n">
        <v>427.27</v>
      </c>
      <c r="I470" s="3" t="n">
        <v>317.22</v>
      </c>
      <c r="J470" s="3" t="n">
        <v>427.27</v>
      </c>
    </row>
    <row r="471">
      <c r="A471" s="2" t="n">
        <v>46360</v>
      </c>
      <c r="B471" t="inlineStr">
        <is>
          <t>Luis</t>
        </is>
      </c>
      <c r="C471" t="inlineStr">
        <is>
          <t>Delta Ltda.</t>
        </is>
      </c>
      <c r="D471" t="inlineStr">
        <is>
          <t>Sur</t>
        </is>
      </c>
      <c r="E471" t="inlineStr">
        <is>
          <t>Soporte mensual</t>
        </is>
      </c>
      <c r="F471" t="inlineStr">
        <is>
          <t>Servicios</t>
        </is>
      </c>
      <c r="G471" t="n">
        <v>1</v>
      </c>
      <c r="H471" s="3" t="n">
        <v>233.25</v>
      </c>
      <c r="I471" s="3" t="n">
        <v>155.72</v>
      </c>
      <c r="J471" s="3" t="n">
        <v>233.25</v>
      </c>
    </row>
    <row r="472">
      <c r="A472" s="2" t="n">
        <v>46380</v>
      </c>
      <c r="B472" t="inlineStr">
        <is>
          <t>Ana</t>
        </is>
      </c>
      <c r="C472" t="inlineStr">
        <is>
          <t>Andes Foods</t>
        </is>
      </c>
      <c r="D472" t="inlineStr">
        <is>
          <t>Norte</t>
        </is>
      </c>
      <c r="E472" t="inlineStr">
        <is>
          <t>Soporte mensual</t>
        </is>
      </c>
      <c r="F472" t="inlineStr">
        <is>
          <t>Servicios</t>
        </is>
      </c>
      <c r="G472" t="n">
        <v>1</v>
      </c>
      <c r="H472" s="3" t="n">
        <v>230.34</v>
      </c>
      <c r="I472" s="3" t="n">
        <v>171.35</v>
      </c>
      <c r="J472" s="3" t="n">
        <v>230.34</v>
      </c>
    </row>
    <row r="473">
      <c r="A473" s="2" t="n">
        <v>46372</v>
      </c>
      <c r="B473" t="inlineStr">
        <is>
          <t>Luis</t>
        </is>
      </c>
      <c r="C473" t="inlineStr">
        <is>
          <t>Cóndor Comercial</t>
        </is>
      </c>
      <c r="D473" t="inlineStr">
        <is>
          <t>Centro</t>
        </is>
      </c>
      <c r="E473" t="inlineStr">
        <is>
          <t>Licencia anual</t>
        </is>
      </c>
      <c r="F473" t="inlineStr">
        <is>
          <t>Software</t>
        </is>
      </c>
      <c r="G473" t="n">
        <v>1</v>
      </c>
      <c r="H473" s="3" t="n">
        <v>434.21</v>
      </c>
      <c r="I473" s="3" t="n">
        <v>261.82</v>
      </c>
      <c r="J473" s="3" t="n">
        <v>434.21</v>
      </c>
    </row>
    <row r="474">
      <c r="A474" s="2" t="n">
        <v>46358</v>
      </c>
      <c r="B474" t="inlineStr">
        <is>
          <t>Jorge</t>
        </is>
      </c>
      <c r="C474" t="inlineStr">
        <is>
          <t>Bahía Import</t>
        </is>
      </c>
      <c r="D474" t="inlineStr">
        <is>
          <t>Norte</t>
        </is>
      </c>
      <c r="E474" t="inlineStr">
        <is>
          <t>Consultoría (hora)</t>
        </is>
      </c>
      <c r="F474" t="inlineStr">
        <is>
          <t>Servicios</t>
        </is>
      </c>
      <c r="G474" t="n">
        <v>1</v>
      </c>
      <c r="H474" s="3" t="n">
        <v>97.66</v>
      </c>
      <c r="I474" s="3" t="n">
        <v>62.87</v>
      </c>
      <c r="J474" s="3" t="n">
        <v>97.66</v>
      </c>
    </row>
    <row r="475">
      <c r="A475" s="2" t="n">
        <v>46368</v>
      </c>
      <c r="B475" t="inlineStr">
        <is>
          <t>Luis</t>
        </is>
      </c>
      <c r="C475" t="inlineStr">
        <is>
          <t>Kora Ltda.</t>
        </is>
      </c>
      <c r="D475" t="inlineStr">
        <is>
          <t>Sur</t>
        </is>
      </c>
      <c r="E475" t="inlineStr">
        <is>
          <t>Licencia anual</t>
        </is>
      </c>
      <c r="F475" t="inlineStr">
        <is>
          <t>Software</t>
        </is>
      </c>
      <c r="G475" t="n">
        <v>1</v>
      </c>
      <c r="H475" s="3" t="n">
        <v>411.35</v>
      </c>
      <c r="I475" s="3" t="n">
        <v>250.15</v>
      </c>
      <c r="J475" s="3" t="n">
        <v>411.35</v>
      </c>
    </row>
    <row r="476">
      <c r="A476" s="2" t="n">
        <v>46374</v>
      </c>
      <c r="B476" t="inlineStr">
        <is>
          <t>Jorge</t>
        </is>
      </c>
      <c r="C476" t="inlineStr">
        <is>
          <t>Sol Foods</t>
        </is>
      </c>
      <c r="D476" t="inlineStr">
        <is>
          <t>Norte</t>
        </is>
      </c>
      <c r="E476" t="inlineStr">
        <is>
          <t>Consultoría (hora)</t>
        </is>
      </c>
      <c r="F476" t="inlineStr">
        <is>
          <t>Servicios</t>
        </is>
      </c>
      <c r="G476" t="n">
        <v>1</v>
      </c>
      <c r="H476" s="3" t="n">
        <v>91.06</v>
      </c>
      <c r="I476" s="3" t="n">
        <v>56.17</v>
      </c>
      <c r="J476" s="3" t="n">
        <v>91.06</v>
      </c>
    </row>
    <row r="477">
      <c r="A477" s="2" t="n">
        <v>46359</v>
      </c>
      <c r="B477" t="inlineStr">
        <is>
          <t>Luis</t>
        </is>
      </c>
      <c r="C477" t="inlineStr">
        <is>
          <t>Cóndor Comercial</t>
        </is>
      </c>
      <c r="D477" t="inlineStr">
        <is>
          <t>Centro</t>
        </is>
      </c>
      <c r="E477" t="inlineStr">
        <is>
          <t>Licencia anual</t>
        </is>
      </c>
      <c r="F477" t="inlineStr">
        <is>
          <t>Software</t>
        </is>
      </c>
      <c r="G477" t="n">
        <v>1</v>
      </c>
      <c r="H477" s="3" t="n">
        <v>412.39</v>
      </c>
      <c r="I477" s="3" t="n">
        <v>287.61</v>
      </c>
      <c r="J477" s="3" t="n">
        <v>412.39</v>
      </c>
    </row>
    <row r="478">
      <c r="A478" s="2" t="n">
        <v>46367</v>
      </c>
      <c r="B478" t="inlineStr">
        <is>
          <t>Carla</t>
        </is>
      </c>
      <c r="C478" t="inlineStr">
        <is>
          <t>Cóndor Comercial</t>
        </is>
      </c>
      <c r="D478" t="inlineStr">
        <is>
          <t>Centro</t>
        </is>
      </c>
      <c r="E478" t="inlineStr">
        <is>
          <t>Soporte mensual</t>
        </is>
      </c>
      <c r="F478" t="inlineStr">
        <is>
          <t>Servicios</t>
        </is>
      </c>
      <c r="G478" t="n">
        <v>1</v>
      </c>
      <c r="H478" s="3" t="n">
        <v>260.65</v>
      </c>
      <c r="I478" s="3" t="n">
        <v>163.22</v>
      </c>
      <c r="J478" s="3" t="n">
        <v>260.65</v>
      </c>
    </row>
    <row r="479">
      <c r="A479" s="2" t="n">
        <v>46374</v>
      </c>
      <c r="B479" t="inlineStr">
        <is>
          <t>Luis</t>
        </is>
      </c>
      <c r="C479" t="inlineStr">
        <is>
          <t>Bahía Group</t>
        </is>
      </c>
      <c r="D479" t="inlineStr">
        <is>
          <t>Norte</t>
        </is>
      </c>
      <c r="E479" t="inlineStr">
        <is>
          <t>Licencia anual</t>
        </is>
      </c>
      <c r="F479" t="inlineStr">
        <is>
          <t>Software</t>
        </is>
      </c>
      <c r="G479" t="n">
        <v>1</v>
      </c>
      <c r="H479" s="3" t="n">
        <v>493.59</v>
      </c>
      <c r="I479" s="3" t="n">
        <v>359.29</v>
      </c>
      <c r="J479" s="3" t="n">
        <v>493.59</v>
      </c>
    </row>
    <row r="480">
      <c r="A480" s="2" t="n">
        <v>46364</v>
      </c>
      <c r="B480" t="inlineStr">
        <is>
          <t>Jorge</t>
        </is>
      </c>
      <c r="C480" t="inlineStr">
        <is>
          <t>Cóndor Ltda.</t>
        </is>
      </c>
      <c r="D480" t="inlineStr">
        <is>
          <t>Sur</t>
        </is>
      </c>
      <c r="E480" t="inlineStr">
        <is>
          <t>Capacitación</t>
        </is>
      </c>
      <c r="F480" t="inlineStr">
        <is>
          <t>Formación</t>
        </is>
      </c>
      <c r="G480" t="n">
        <v>1</v>
      </c>
      <c r="H480" s="3" t="n">
        <v>349.77</v>
      </c>
      <c r="I480" s="3" t="n">
        <v>257.39</v>
      </c>
      <c r="J480" s="3" t="n">
        <v>349.77</v>
      </c>
    </row>
    <row r="481">
      <c r="A481" s="2" t="n">
        <v>46378</v>
      </c>
      <c r="B481" t="inlineStr">
        <is>
          <t>Carla</t>
        </is>
      </c>
      <c r="C481" t="inlineStr">
        <is>
          <t>Ícaro S.A.C.</t>
        </is>
      </c>
      <c r="D481" t="inlineStr">
        <is>
          <t>Norte</t>
        </is>
      </c>
      <c r="E481" t="inlineStr">
        <is>
          <t>Licencia anual</t>
        </is>
      </c>
      <c r="F481" t="inlineStr">
        <is>
          <t>Software</t>
        </is>
      </c>
      <c r="G481" t="n">
        <v>1</v>
      </c>
      <c r="H481" s="3" t="n">
        <v>418.36</v>
      </c>
      <c r="I481" s="3" t="n">
        <v>309.62</v>
      </c>
      <c r="J481" s="3" t="n">
        <v>418.36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22" customWidth="1" min="7" max="7"/>
    <col width="12" customWidth="1" min="8" max="8"/>
    <col width="5" customWidth="1" min="10" max="10"/>
    <col width="22" customWidth="1" min="11" max="11"/>
    <col width="14" customWidth="1" min="12" max="12"/>
    <col width="22" customWidth="1" min="17" max="17"/>
    <col width="10" customWidth="1" min="18" max="18"/>
    <col width="14" customWidth="1" min="19" max="19"/>
  </cols>
  <sheetData>
    <row r="1">
      <c r="A1" s="4" t="inlineStr">
        <is>
          <t>Dashboard de ventas Q4 2026</t>
        </is>
      </c>
    </row>
    <row r="2">
      <c r="A2" s="5" t="inlineStr">
        <is>
          <t>Fuente: ventas-q4.xlsx (hoja Datos). Todo se recalcula con fórmulas.</t>
        </is>
      </c>
    </row>
    <row r="4">
      <c r="A4" s="6" t="inlineStr">
        <is>
          <t>1. Ingresos por mes</t>
        </is>
      </c>
      <c r="D4" s="6" t="inlineStr">
        <is>
          <t>2. Margen bruto</t>
        </is>
      </c>
      <c r="G4" s="6" t="inlineStr">
        <is>
          <t>3. Clientes</t>
        </is>
      </c>
      <c r="Q4" s="6" t="inlineStr">
        <is>
          <t>Auxiliar: clientes</t>
        </is>
      </c>
    </row>
    <row r="5">
      <c r="A5" s="1" t="inlineStr">
        <is>
          <t>Mes</t>
        </is>
      </c>
      <c r="B5" s="1" t="inlineStr">
        <is>
          <t>Ingresos</t>
        </is>
      </c>
      <c r="D5" s="1" t="inlineStr">
        <is>
          <t>Concepto</t>
        </is>
      </c>
      <c r="E5" s="1" t="inlineStr">
        <is>
          <t>Valor</t>
        </is>
      </c>
      <c r="G5" s="1" t="inlineStr">
        <is>
          <t>Indicador</t>
        </is>
      </c>
      <c r="H5" s="1" t="inlineStr">
        <is>
          <t>Valor</t>
        </is>
      </c>
      <c r="Q5" s="1" t="inlineStr">
        <is>
          <t>Cliente</t>
        </is>
      </c>
      <c r="R5" s="1" t="inlineStr">
        <is>
          <t>Compras</t>
        </is>
      </c>
      <c r="S5" s="1" t="inlineStr">
        <is>
          <t>Ingresos</t>
        </is>
      </c>
    </row>
    <row r="6">
      <c r="A6" t="inlineStr">
        <is>
          <t>Octubre</t>
        </is>
      </c>
      <c r="B6" s="3">
        <f>SUMIFS(Datos!$J$2:$J$481,Datos!$A$2:$A$481,"&gt;="&amp;DATE(2026,10,1),Datos!$A$2:$A$481,"&lt;"&amp;DATE(2026,11,1))</f>
        <v/>
      </c>
      <c r="D6" t="inlineStr">
        <is>
          <t>Ingresos</t>
        </is>
      </c>
      <c r="E6" s="3">
        <f>SUM(Datos!$J$2:$J$481)</f>
        <v/>
      </c>
      <c r="G6" t="inlineStr">
        <is>
          <t>Clientes activos</t>
        </is>
      </c>
      <c r="H6">
        <f>SUMPRODUCT((Datos!$C$2:$C$481&lt;&gt;"")/COUNTIF(Datos!$C$2:$C$481,Datos!$C$2:$C$481&amp;""))</f>
        <v/>
      </c>
      <c r="Q6" t="inlineStr">
        <is>
          <t>Andes Comercial</t>
        </is>
      </c>
      <c r="R6">
        <f>COUNTIF(Datos!$C$2:$C$481,Q6)</f>
        <v/>
      </c>
      <c r="S6" s="3">
        <f>SUMIFS(Datos!$J$2:$J$481,Datos!$C$2:$C$481,Q6)</f>
        <v/>
      </c>
    </row>
    <row r="7">
      <c r="A7" t="inlineStr">
        <is>
          <t>Noviembre</t>
        </is>
      </c>
      <c r="B7" s="3">
        <f>SUMIFS(Datos!$J$2:$J$481,Datos!$A$2:$A$481,"&gt;="&amp;DATE(2026,11,1),Datos!$A$2:$A$481,"&lt;"&amp;DATE(2026,12,1))</f>
        <v/>
      </c>
      <c r="D7" t="inlineStr">
        <is>
          <t>Costo</t>
        </is>
      </c>
      <c r="E7" s="3">
        <f>SUMPRODUCT(Datos!$G$2:$G$481,Datos!$I$2:$I$481)</f>
        <v/>
      </c>
      <c r="G7" t="inlineStr">
        <is>
          <t>Compraron una sola vez</t>
        </is>
      </c>
      <c r="H7">
        <f>COUNTIF($R$6:$R$219,1)</f>
        <v/>
      </c>
      <c r="Q7" t="inlineStr">
        <is>
          <t>Andes Foods</t>
        </is>
      </c>
      <c r="R7">
        <f>COUNTIF(Datos!$C$2:$C$481,Q7)</f>
        <v/>
      </c>
      <c r="S7" s="3">
        <f>SUMIFS(Datos!$J$2:$J$481,Datos!$C$2:$C$481,Q7)</f>
        <v/>
      </c>
    </row>
    <row r="8">
      <c r="A8" t="inlineStr">
        <is>
          <t>Diciembre</t>
        </is>
      </c>
      <c r="B8" s="3">
        <f>SUMIFS(Datos!$J$2:$J$481,Datos!$A$2:$A$481,"&gt;="&amp;DATE(2026,12,1),Datos!$A$2:$A$481,"&lt;"&amp;DATE(2027,1,1))</f>
        <v/>
      </c>
      <c r="D8" t="inlineStr">
        <is>
          <t>Margen bruto</t>
        </is>
      </c>
      <c r="E8" s="3">
        <f>E6-E7</f>
        <v/>
      </c>
      <c r="G8" t="inlineStr">
        <is>
          <t>% una sola compra</t>
        </is>
      </c>
      <c r="H8" s="7">
        <f>IF(H6=0,0,H7/H6)</f>
        <v/>
      </c>
      <c r="Q8" t="inlineStr">
        <is>
          <t>Andes Group</t>
        </is>
      </c>
      <c r="R8">
        <f>COUNTIF(Datos!$C$2:$C$481,Q8)</f>
        <v/>
      </c>
      <c r="S8" s="3">
        <f>SUMIFS(Datos!$J$2:$J$481,Datos!$C$2:$C$481,Q8)</f>
        <v/>
      </c>
    </row>
    <row r="9">
      <c r="A9" s="8" t="inlineStr">
        <is>
          <t>Total</t>
        </is>
      </c>
      <c r="B9" s="9">
        <f>SUM(B6:B8)</f>
        <v/>
      </c>
      <c r="D9" t="inlineStr">
        <is>
          <t>Margen bruto %</t>
        </is>
      </c>
      <c r="E9" s="7">
        <f>IF(E6=0,0,(E6-E7)/E6)</f>
        <v/>
      </c>
      <c r="G9" t="inlineStr">
        <is>
          <t>% recurrentes</t>
        </is>
      </c>
      <c r="H9" s="10">
        <f>1-H8</f>
        <v/>
      </c>
      <c r="Q9" t="inlineStr">
        <is>
          <t>Andes Logística</t>
        </is>
      </c>
      <c r="R9">
        <f>COUNTIF(Datos!$C$2:$C$481,Q9)</f>
        <v/>
      </c>
      <c r="S9" s="3">
        <f>SUMIFS(Datos!$J$2:$J$481,Datos!$C$2:$C$481,Q9)</f>
        <v/>
      </c>
    </row>
    <row r="10">
      <c r="A10" t="inlineStr">
        <is>
          <t>Var. último vs primer mes</t>
        </is>
      </c>
      <c r="B10" s="7">
        <f>IF(B6=0,0,(B8-B6)/B6)</f>
        <v/>
      </c>
      <c r="Q10" t="inlineStr">
        <is>
          <t>Andes Ltda.</t>
        </is>
      </c>
      <c r="R10">
        <f>COUNTIF(Datos!$C$2:$C$481,Q10)</f>
        <v/>
      </c>
      <c r="S10" s="3">
        <f>SUMIFS(Datos!$J$2:$J$481,Datos!$C$2:$C$481,Q10)</f>
        <v/>
      </c>
    </row>
    <row r="11">
      <c r="Q11" t="inlineStr">
        <is>
          <t>Andes Retail</t>
        </is>
      </c>
      <c r="R11">
        <f>COUNTIF(Datos!$C$2:$C$481,Q11)</f>
        <v/>
      </c>
      <c r="S11" s="3">
        <f>SUMIFS(Datos!$J$2:$J$481,Datos!$C$2:$C$481,Q11)</f>
        <v/>
      </c>
    </row>
    <row r="12">
      <c r="A12" s="6" t="inlineStr">
        <is>
          <t>4. Ingresos por región y categoría (región = columna "Zona")</t>
        </is>
      </c>
      <c r="Q12" t="inlineStr">
        <is>
          <t>Andes S.A.</t>
        </is>
      </c>
      <c r="R12">
        <f>COUNTIF(Datos!$C$2:$C$481,Q12)</f>
        <v/>
      </c>
      <c r="S12" s="3">
        <f>SUMIFS(Datos!$J$2:$J$481,Datos!$C$2:$C$481,Q12)</f>
        <v/>
      </c>
    </row>
    <row r="13">
      <c r="A13" s="1" t="inlineStr">
        <is>
          <t>Zona</t>
        </is>
      </c>
      <c r="B13" s="1" t="inlineStr">
        <is>
          <t>Formación</t>
        </is>
      </c>
      <c r="C13" s="1" t="inlineStr">
        <is>
          <t>Servicios</t>
        </is>
      </c>
      <c r="D13" s="1" t="inlineStr">
        <is>
          <t>Software</t>
        </is>
      </c>
      <c r="E13" s="1" t="inlineStr">
        <is>
          <t>Total</t>
        </is>
      </c>
      <c r="Q13" t="inlineStr">
        <is>
          <t>Andes S.A.C.</t>
        </is>
      </c>
      <c r="R13">
        <f>COUNTIF(Datos!$C$2:$C$481,Q13)</f>
        <v/>
      </c>
      <c r="S13" s="3">
        <f>SUMIFS(Datos!$J$2:$J$481,Datos!$C$2:$C$481,Q13)</f>
        <v/>
      </c>
    </row>
    <row r="14">
      <c r="A14" t="inlineStr">
        <is>
          <t>Centro</t>
        </is>
      </c>
      <c r="B14" s="3">
        <f>SUMIFS(Datos!$J$2:$J$481,Datos!$D$2:$D$481,$A14,Datos!$F$2:$F$481,B$13)</f>
        <v/>
      </c>
      <c r="C14" s="3">
        <f>SUMIFS(Datos!$J$2:$J$481,Datos!$D$2:$D$481,$A14,Datos!$F$2:$F$481,C$13)</f>
        <v/>
      </c>
      <c r="D14" s="3">
        <f>SUMIFS(Datos!$J$2:$J$481,Datos!$D$2:$D$481,$A14,Datos!$F$2:$F$481,D$13)</f>
        <v/>
      </c>
      <c r="E14" s="9">
        <f>SUM(B14:D14)</f>
        <v/>
      </c>
      <c r="Q14" t="inlineStr">
        <is>
          <t>Andes Servicios</t>
        </is>
      </c>
      <c r="R14">
        <f>COUNTIF(Datos!$C$2:$C$481,Q14)</f>
        <v/>
      </c>
      <c r="S14" s="3">
        <f>SUMIFS(Datos!$J$2:$J$481,Datos!$C$2:$C$481,Q14)</f>
        <v/>
      </c>
    </row>
    <row r="15">
      <c r="A15" t="inlineStr">
        <is>
          <t>Norte</t>
        </is>
      </c>
      <c r="B15" s="3">
        <f>SUMIFS(Datos!$J$2:$J$481,Datos!$D$2:$D$481,$A15,Datos!$F$2:$F$481,B$13)</f>
        <v/>
      </c>
      <c r="C15" s="3">
        <f>SUMIFS(Datos!$J$2:$J$481,Datos!$D$2:$D$481,$A15,Datos!$F$2:$F$481,C$13)</f>
        <v/>
      </c>
      <c r="D15" s="3">
        <f>SUMIFS(Datos!$J$2:$J$481,Datos!$D$2:$D$481,$A15,Datos!$F$2:$F$481,D$13)</f>
        <v/>
      </c>
      <c r="E15" s="9">
        <f>SUM(B15:D15)</f>
        <v/>
      </c>
      <c r="Q15" t="inlineStr">
        <is>
          <t>Andes Tech</t>
        </is>
      </c>
      <c r="R15">
        <f>COUNTIF(Datos!$C$2:$C$481,Q15)</f>
        <v/>
      </c>
      <c r="S15" s="3">
        <f>SUMIFS(Datos!$J$2:$J$481,Datos!$C$2:$C$481,Q15)</f>
        <v/>
      </c>
    </row>
    <row r="16">
      <c r="A16" t="inlineStr">
        <is>
          <t>Sur</t>
        </is>
      </c>
      <c r="B16" s="3">
        <f>SUMIFS(Datos!$J$2:$J$481,Datos!$D$2:$D$481,$A16,Datos!$F$2:$F$481,B$13)</f>
        <v/>
      </c>
      <c r="C16" s="3">
        <f>SUMIFS(Datos!$J$2:$J$481,Datos!$D$2:$D$481,$A16,Datos!$F$2:$F$481,C$13)</f>
        <v/>
      </c>
      <c r="D16" s="3">
        <f>SUMIFS(Datos!$J$2:$J$481,Datos!$D$2:$D$481,$A16,Datos!$F$2:$F$481,D$13)</f>
        <v/>
      </c>
      <c r="E16" s="9">
        <f>SUM(B16:D16)</f>
        <v/>
      </c>
      <c r="Q16" t="inlineStr">
        <is>
          <t>Bahía Comercial</t>
        </is>
      </c>
      <c r="R16">
        <f>COUNTIF(Datos!$C$2:$C$481,Q16)</f>
        <v/>
      </c>
      <c r="S16" s="3">
        <f>SUMIFS(Datos!$J$2:$J$481,Datos!$C$2:$C$481,Q16)</f>
        <v/>
      </c>
    </row>
    <row r="17">
      <c r="A17" s="8" t="inlineStr">
        <is>
          <t>Total</t>
        </is>
      </c>
      <c r="B17" s="9">
        <f>SUM(B14:B16)</f>
        <v/>
      </c>
      <c r="C17" s="9">
        <f>SUM(C14:C16)</f>
        <v/>
      </c>
      <c r="D17" s="9">
        <f>SUM(D14:D16)</f>
        <v/>
      </c>
      <c r="E17" s="9">
        <f>SUM(E14:E16)</f>
        <v/>
      </c>
      <c r="Q17" t="inlineStr">
        <is>
          <t>Bahía Foods</t>
        </is>
      </c>
      <c r="R17">
        <f>COUNTIF(Datos!$C$2:$C$481,Q17)</f>
        <v/>
      </c>
      <c r="S17" s="3">
        <f>SUMIFS(Datos!$J$2:$J$481,Datos!$C$2:$C$481,Q17)</f>
        <v/>
      </c>
    </row>
    <row r="18">
      <c r="Q18" t="inlineStr">
        <is>
          <t>Bahía Group</t>
        </is>
      </c>
      <c r="R18">
        <f>COUNTIF(Datos!$C$2:$C$481,Q18)</f>
        <v/>
      </c>
      <c r="S18" s="3">
        <f>SUMIFS(Datos!$J$2:$J$481,Datos!$C$2:$C$481,Q18)</f>
        <v/>
      </c>
    </row>
    <row r="19">
      <c r="Q19" t="inlineStr">
        <is>
          <t>Bahía Import</t>
        </is>
      </c>
      <c r="R19">
        <f>COUNTIF(Datos!$C$2:$C$481,Q19)</f>
        <v/>
      </c>
      <c r="S19" s="3">
        <f>SUMIFS(Datos!$J$2:$J$481,Datos!$C$2:$C$481,Q19)</f>
        <v/>
      </c>
    </row>
    <row r="20">
      <c r="A20" s="6" t="inlineStr">
        <is>
          <t>Ventas por zona (mayor a menor)</t>
        </is>
      </c>
      <c r="J20" s="6" t="inlineStr">
        <is>
          <t>Top 5 clientes por ingresos</t>
        </is>
      </c>
      <c r="Q20" t="inlineStr">
        <is>
          <t>Bahía Logística</t>
        </is>
      </c>
      <c r="R20">
        <f>COUNTIF(Datos!$C$2:$C$481,Q20)</f>
        <v/>
      </c>
      <c r="S20" s="3">
        <f>SUMIFS(Datos!$J$2:$J$481,Datos!$C$2:$C$481,Q20)</f>
        <v/>
      </c>
    </row>
    <row r="21">
      <c r="A21" s="1" t="inlineStr">
        <is>
          <t>Zona</t>
        </is>
      </c>
      <c r="B21" s="1" t="inlineStr">
        <is>
          <t>Ingresos</t>
        </is>
      </c>
      <c r="J21" s="1" t="inlineStr">
        <is>
          <t>#</t>
        </is>
      </c>
      <c r="K21" s="1" t="inlineStr">
        <is>
          <t>Cliente</t>
        </is>
      </c>
      <c r="L21" s="1" t="inlineStr">
        <is>
          <t>Ingresos</t>
        </is>
      </c>
      <c r="Q21" t="inlineStr">
        <is>
          <t>Bahía Ltda.</t>
        </is>
      </c>
      <c r="R21">
        <f>COUNTIF(Datos!$C$2:$C$481,Q21)</f>
        <v/>
      </c>
      <c r="S21" s="3">
        <f>SUMIFS(Datos!$J$2:$J$481,Datos!$C$2:$C$481,Q21)</f>
        <v/>
      </c>
    </row>
    <row r="22">
      <c r="A22">
        <f>INDEX($A$14:$A$16,MATCH(B22,$E$14:$E$16,0))</f>
        <v/>
      </c>
      <c r="B22" s="3">
        <f>LARGE($E$14:$E$16,1)</f>
        <v/>
      </c>
      <c r="J22" t="n">
        <v>1</v>
      </c>
      <c r="K22">
        <f>INDEX($Q$6:$Q$219,MATCH(L22,$S$6:$S$219,0))</f>
        <v/>
      </c>
      <c r="L22" s="3">
        <f>LARGE($S$6:$S$219,1)</f>
        <v/>
      </c>
      <c r="Q22" t="inlineStr">
        <is>
          <t>Bahía Retail</t>
        </is>
      </c>
      <c r="R22">
        <f>COUNTIF(Datos!$C$2:$C$481,Q22)</f>
        <v/>
      </c>
      <c r="S22" s="3">
        <f>SUMIFS(Datos!$J$2:$J$481,Datos!$C$2:$C$481,Q22)</f>
        <v/>
      </c>
    </row>
    <row r="23">
      <c r="A23">
        <f>INDEX($A$14:$A$16,MATCH(B23,$E$14:$E$16,0))</f>
        <v/>
      </c>
      <c r="B23" s="3">
        <f>LARGE($E$14:$E$16,2)</f>
        <v/>
      </c>
      <c r="J23" t="n">
        <v>2</v>
      </c>
      <c r="K23">
        <f>INDEX($Q$6:$Q$219,MATCH(L23,$S$6:$S$219,0))</f>
        <v/>
      </c>
      <c r="L23" s="3">
        <f>LARGE($S$6:$S$219,2)</f>
        <v/>
      </c>
      <c r="Q23" t="inlineStr">
        <is>
          <t>Bahía S.A.</t>
        </is>
      </c>
      <c r="R23">
        <f>COUNTIF(Datos!$C$2:$C$481,Q23)</f>
        <v/>
      </c>
      <c r="S23" s="3">
        <f>SUMIFS(Datos!$J$2:$J$481,Datos!$C$2:$C$481,Q23)</f>
        <v/>
      </c>
    </row>
    <row r="24">
      <c r="A24">
        <f>INDEX($A$14:$A$16,MATCH(B24,$E$14:$E$16,0))</f>
        <v/>
      </c>
      <c r="B24" s="3">
        <f>LARGE($E$14:$E$16,3)</f>
        <v/>
      </c>
      <c r="J24" t="n">
        <v>3</v>
      </c>
      <c r="K24">
        <f>INDEX($Q$6:$Q$219,MATCH(L24,$S$6:$S$219,0))</f>
        <v/>
      </c>
      <c r="L24" s="3">
        <f>LARGE($S$6:$S$219,3)</f>
        <v/>
      </c>
      <c r="Q24" t="inlineStr">
        <is>
          <t>Bahía S.A.C.</t>
        </is>
      </c>
      <c r="R24">
        <f>COUNTIF(Datos!$C$2:$C$481,Q24)</f>
        <v/>
      </c>
      <c r="S24" s="3">
        <f>SUMIFS(Datos!$J$2:$J$481,Datos!$C$2:$C$481,Q24)</f>
        <v/>
      </c>
    </row>
    <row r="25">
      <c r="J25" t="n">
        <v>4</v>
      </c>
      <c r="K25">
        <f>INDEX($Q$6:$Q$219,MATCH(L25,$S$6:$S$219,0))</f>
        <v/>
      </c>
      <c r="L25" s="3">
        <f>LARGE($S$6:$S$219,4)</f>
        <v/>
      </c>
      <c r="Q25" t="inlineStr">
        <is>
          <t>Bahía Servicios</t>
        </is>
      </c>
      <c r="R25">
        <f>COUNTIF(Datos!$C$2:$C$481,Q25)</f>
        <v/>
      </c>
      <c r="S25" s="3">
        <f>SUMIFS(Datos!$J$2:$J$481,Datos!$C$2:$C$481,Q25)</f>
        <v/>
      </c>
    </row>
    <row r="26">
      <c r="J26" t="n">
        <v>5</v>
      </c>
      <c r="K26">
        <f>INDEX($Q$6:$Q$219,MATCH(L26,$S$6:$S$219,0))</f>
        <v/>
      </c>
      <c r="L26" s="3">
        <f>LARGE($S$6:$S$219,5)</f>
        <v/>
      </c>
      <c r="Q26" t="inlineStr">
        <is>
          <t>Bahía Tech</t>
        </is>
      </c>
      <c r="R26">
        <f>COUNTIF(Datos!$C$2:$C$481,Q26)</f>
        <v/>
      </c>
      <c r="S26" s="3">
        <f>SUMIFS(Datos!$J$2:$J$481,Datos!$C$2:$C$481,Q26)</f>
        <v/>
      </c>
    </row>
    <row r="27">
      <c r="Q27" t="inlineStr">
        <is>
          <t>Cóndor Comercial</t>
        </is>
      </c>
      <c r="R27">
        <f>COUNTIF(Datos!$C$2:$C$481,Q27)</f>
        <v/>
      </c>
      <c r="S27" s="3">
        <f>SUMIFS(Datos!$J$2:$J$481,Datos!$C$2:$C$481,Q27)</f>
        <v/>
      </c>
    </row>
    <row r="28">
      <c r="Q28" t="inlineStr">
        <is>
          <t>Cóndor Foods</t>
        </is>
      </c>
      <c r="R28">
        <f>COUNTIF(Datos!$C$2:$C$481,Q28)</f>
        <v/>
      </c>
      <c r="S28" s="3">
        <f>SUMIFS(Datos!$J$2:$J$481,Datos!$C$2:$C$481,Q28)</f>
        <v/>
      </c>
    </row>
    <row r="29">
      <c r="Q29" t="inlineStr">
        <is>
          <t>Cóndor Import</t>
        </is>
      </c>
      <c r="R29">
        <f>COUNTIF(Datos!$C$2:$C$481,Q29)</f>
        <v/>
      </c>
      <c r="S29" s="3">
        <f>SUMIFS(Datos!$J$2:$J$481,Datos!$C$2:$C$481,Q29)</f>
        <v/>
      </c>
    </row>
    <row r="30">
      <c r="Q30" t="inlineStr">
        <is>
          <t>Cóndor Logística</t>
        </is>
      </c>
      <c r="R30">
        <f>COUNTIF(Datos!$C$2:$C$481,Q30)</f>
        <v/>
      </c>
      <c r="S30" s="3">
        <f>SUMIFS(Datos!$J$2:$J$481,Datos!$C$2:$C$481,Q30)</f>
        <v/>
      </c>
    </row>
    <row r="31">
      <c r="Q31" t="inlineStr">
        <is>
          <t>Cóndor Ltda.</t>
        </is>
      </c>
      <c r="R31">
        <f>COUNTIF(Datos!$C$2:$C$481,Q31)</f>
        <v/>
      </c>
      <c r="S31" s="3">
        <f>SUMIFS(Datos!$J$2:$J$481,Datos!$C$2:$C$481,Q31)</f>
        <v/>
      </c>
    </row>
    <row r="32">
      <c r="Q32" t="inlineStr">
        <is>
          <t>Cóndor Retail</t>
        </is>
      </c>
      <c r="R32">
        <f>COUNTIF(Datos!$C$2:$C$481,Q32)</f>
        <v/>
      </c>
      <c r="S32" s="3">
        <f>SUMIFS(Datos!$J$2:$J$481,Datos!$C$2:$C$481,Q32)</f>
        <v/>
      </c>
    </row>
    <row r="33">
      <c r="Q33" t="inlineStr">
        <is>
          <t>Cóndor S.A.</t>
        </is>
      </c>
      <c r="R33">
        <f>COUNTIF(Datos!$C$2:$C$481,Q33)</f>
        <v/>
      </c>
      <c r="S33" s="3">
        <f>SUMIFS(Datos!$J$2:$J$481,Datos!$C$2:$C$481,Q33)</f>
        <v/>
      </c>
    </row>
    <row r="34">
      <c r="Q34" t="inlineStr">
        <is>
          <t>Cóndor S.A.C.</t>
        </is>
      </c>
      <c r="R34">
        <f>COUNTIF(Datos!$C$2:$C$481,Q34)</f>
        <v/>
      </c>
      <c r="S34" s="3">
        <f>SUMIFS(Datos!$J$2:$J$481,Datos!$C$2:$C$481,Q34)</f>
        <v/>
      </c>
    </row>
    <row r="35">
      <c r="Q35" t="inlineStr">
        <is>
          <t>Cóndor Servicios</t>
        </is>
      </c>
      <c r="R35">
        <f>COUNTIF(Datos!$C$2:$C$481,Q35)</f>
        <v/>
      </c>
      <c r="S35" s="3">
        <f>SUMIFS(Datos!$J$2:$J$481,Datos!$C$2:$C$481,Q35)</f>
        <v/>
      </c>
    </row>
    <row r="36">
      <c r="Q36" t="inlineStr">
        <is>
          <t>Cóndor Tech</t>
        </is>
      </c>
      <c r="R36">
        <f>COUNTIF(Datos!$C$2:$C$481,Q36)</f>
        <v/>
      </c>
      <c r="S36" s="3">
        <f>SUMIFS(Datos!$J$2:$J$481,Datos!$C$2:$C$481,Q36)</f>
        <v/>
      </c>
    </row>
    <row r="37">
      <c r="Q37" t="inlineStr">
        <is>
          <t>Delta Comercial</t>
        </is>
      </c>
      <c r="R37">
        <f>COUNTIF(Datos!$C$2:$C$481,Q37)</f>
        <v/>
      </c>
      <c r="S37" s="3">
        <f>SUMIFS(Datos!$J$2:$J$481,Datos!$C$2:$C$481,Q37)</f>
        <v/>
      </c>
    </row>
    <row r="38">
      <c r="Q38" t="inlineStr">
        <is>
          <t>Delta Foods</t>
        </is>
      </c>
      <c r="R38">
        <f>COUNTIF(Datos!$C$2:$C$481,Q38)</f>
        <v/>
      </c>
      <c r="S38" s="3">
        <f>SUMIFS(Datos!$J$2:$J$481,Datos!$C$2:$C$481,Q38)</f>
        <v/>
      </c>
    </row>
    <row r="39">
      <c r="Q39" t="inlineStr">
        <is>
          <t>Delta Group</t>
        </is>
      </c>
      <c r="R39">
        <f>COUNTIF(Datos!$C$2:$C$481,Q39)</f>
        <v/>
      </c>
      <c r="S39" s="3">
        <f>SUMIFS(Datos!$J$2:$J$481,Datos!$C$2:$C$481,Q39)</f>
        <v/>
      </c>
    </row>
    <row r="40">
      <c r="Q40" t="inlineStr">
        <is>
          <t>Delta Import</t>
        </is>
      </c>
      <c r="R40">
        <f>COUNTIF(Datos!$C$2:$C$481,Q40)</f>
        <v/>
      </c>
      <c r="S40" s="3">
        <f>SUMIFS(Datos!$J$2:$J$481,Datos!$C$2:$C$481,Q40)</f>
        <v/>
      </c>
    </row>
    <row r="41">
      <c r="Q41" t="inlineStr">
        <is>
          <t>Delta Logística</t>
        </is>
      </c>
      <c r="R41">
        <f>COUNTIF(Datos!$C$2:$C$481,Q41)</f>
        <v/>
      </c>
      <c r="S41" s="3">
        <f>SUMIFS(Datos!$J$2:$J$481,Datos!$C$2:$C$481,Q41)</f>
        <v/>
      </c>
    </row>
    <row r="42">
      <c r="Q42" t="inlineStr">
        <is>
          <t>Delta Ltda.</t>
        </is>
      </c>
      <c r="R42">
        <f>COUNTIF(Datos!$C$2:$C$481,Q42)</f>
        <v/>
      </c>
      <c r="S42" s="3">
        <f>SUMIFS(Datos!$J$2:$J$481,Datos!$C$2:$C$481,Q42)</f>
        <v/>
      </c>
    </row>
    <row r="43">
      <c r="Q43" t="inlineStr">
        <is>
          <t>Delta Retail</t>
        </is>
      </c>
      <c r="R43">
        <f>COUNTIF(Datos!$C$2:$C$481,Q43)</f>
        <v/>
      </c>
      <c r="S43" s="3">
        <f>SUMIFS(Datos!$J$2:$J$481,Datos!$C$2:$C$481,Q43)</f>
        <v/>
      </c>
    </row>
    <row r="44">
      <c r="Q44" t="inlineStr">
        <is>
          <t>Delta S.A.</t>
        </is>
      </c>
      <c r="R44">
        <f>COUNTIF(Datos!$C$2:$C$481,Q44)</f>
        <v/>
      </c>
      <c r="S44" s="3">
        <f>SUMIFS(Datos!$J$2:$J$481,Datos!$C$2:$C$481,Q44)</f>
        <v/>
      </c>
    </row>
    <row r="45">
      <c r="Q45" t="inlineStr">
        <is>
          <t>Delta S.A.C.</t>
        </is>
      </c>
      <c r="R45">
        <f>COUNTIF(Datos!$C$2:$C$481,Q45)</f>
        <v/>
      </c>
      <c r="S45" s="3">
        <f>SUMIFS(Datos!$J$2:$J$481,Datos!$C$2:$C$481,Q45)</f>
        <v/>
      </c>
    </row>
    <row r="46">
      <c r="Q46" t="inlineStr">
        <is>
          <t>Delta Servicios</t>
        </is>
      </c>
      <c r="R46">
        <f>COUNTIF(Datos!$C$2:$C$481,Q46)</f>
        <v/>
      </c>
      <c r="S46" s="3">
        <f>SUMIFS(Datos!$J$2:$J$481,Datos!$C$2:$C$481,Q46)</f>
        <v/>
      </c>
    </row>
    <row r="47">
      <c r="Q47" t="inlineStr">
        <is>
          <t>Delta Tech</t>
        </is>
      </c>
      <c r="R47">
        <f>COUNTIF(Datos!$C$2:$C$481,Q47)</f>
        <v/>
      </c>
      <c r="S47" s="3">
        <f>SUMIFS(Datos!$J$2:$J$481,Datos!$C$2:$C$481,Q47)</f>
        <v/>
      </c>
    </row>
    <row r="48">
      <c r="Q48" t="inlineStr">
        <is>
          <t>Eco Comercial</t>
        </is>
      </c>
      <c r="R48">
        <f>COUNTIF(Datos!$C$2:$C$481,Q48)</f>
        <v/>
      </c>
      <c r="S48" s="3">
        <f>SUMIFS(Datos!$J$2:$J$481,Datos!$C$2:$C$481,Q48)</f>
        <v/>
      </c>
    </row>
    <row r="49">
      <c r="Q49" t="inlineStr">
        <is>
          <t>Eco Foods</t>
        </is>
      </c>
      <c r="R49">
        <f>COUNTIF(Datos!$C$2:$C$481,Q49)</f>
        <v/>
      </c>
      <c r="S49" s="3">
        <f>SUMIFS(Datos!$J$2:$J$481,Datos!$C$2:$C$481,Q49)</f>
        <v/>
      </c>
    </row>
    <row r="50">
      <c r="Q50" t="inlineStr">
        <is>
          <t>Eco Group</t>
        </is>
      </c>
      <c r="R50">
        <f>COUNTIF(Datos!$C$2:$C$481,Q50)</f>
        <v/>
      </c>
      <c r="S50" s="3">
        <f>SUMIFS(Datos!$J$2:$J$481,Datos!$C$2:$C$481,Q50)</f>
        <v/>
      </c>
    </row>
    <row r="51">
      <c r="Q51" t="inlineStr">
        <is>
          <t>Eco Import</t>
        </is>
      </c>
      <c r="R51">
        <f>COUNTIF(Datos!$C$2:$C$481,Q51)</f>
        <v/>
      </c>
      <c r="S51" s="3">
        <f>SUMIFS(Datos!$J$2:$J$481,Datos!$C$2:$C$481,Q51)</f>
        <v/>
      </c>
    </row>
    <row r="52">
      <c r="Q52" t="inlineStr">
        <is>
          <t>Eco Logística</t>
        </is>
      </c>
      <c r="R52">
        <f>COUNTIF(Datos!$C$2:$C$481,Q52)</f>
        <v/>
      </c>
      <c r="S52" s="3">
        <f>SUMIFS(Datos!$J$2:$J$481,Datos!$C$2:$C$481,Q52)</f>
        <v/>
      </c>
    </row>
    <row r="53">
      <c r="Q53" t="inlineStr">
        <is>
          <t>Eco Ltda.</t>
        </is>
      </c>
      <c r="R53">
        <f>COUNTIF(Datos!$C$2:$C$481,Q53)</f>
        <v/>
      </c>
      <c r="S53" s="3">
        <f>SUMIFS(Datos!$J$2:$J$481,Datos!$C$2:$C$481,Q53)</f>
        <v/>
      </c>
    </row>
    <row r="54">
      <c r="Q54" t="inlineStr">
        <is>
          <t>Eco Retail</t>
        </is>
      </c>
      <c r="R54">
        <f>COUNTIF(Datos!$C$2:$C$481,Q54)</f>
        <v/>
      </c>
      <c r="S54" s="3">
        <f>SUMIFS(Datos!$J$2:$J$481,Datos!$C$2:$C$481,Q54)</f>
        <v/>
      </c>
    </row>
    <row r="55">
      <c r="Q55" t="inlineStr">
        <is>
          <t>Eco S.A.</t>
        </is>
      </c>
      <c r="R55">
        <f>COUNTIF(Datos!$C$2:$C$481,Q55)</f>
        <v/>
      </c>
      <c r="S55" s="3">
        <f>SUMIFS(Datos!$J$2:$J$481,Datos!$C$2:$C$481,Q55)</f>
        <v/>
      </c>
    </row>
    <row r="56">
      <c r="Q56" t="inlineStr">
        <is>
          <t>Eco S.A.C.</t>
        </is>
      </c>
      <c r="R56">
        <f>COUNTIF(Datos!$C$2:$C$481,Q56)</f>
        <v/>
      </c>
      <c r="S56" s="3">
        <f>SUMIFS(Datos!$J$2:$J$481,Datos!$C$2:$C$481,Q56)</f>
        <v/>
      </c>
    </row>
    <row r="57">
      <c r="Q57" t="inlineStr">
        <is>
          <t>Eco Servicios</t>
        </is>
      </c>
      <c r="R57">
        <f>COUNTIF(Datos!$C$2:$C$481,Q57)</f>
        <v/>
      </c>
      <c r="S57" s="3">
        <f>SUMIFS(Datos!$J$2:$J$481,Datos!$C$2:$C$481,Q57)</f>
        <v/>
      </c>
    </row>
    <row r="58">
      <c r="Q58" t="inlineStr">
        <is>
          <t>Fénix Comercial</t>
        </is>
      </c>
      <c r="R58">
        <f>COUNTIF(Datos!$C$2:$C$481,Q58)</f>
        <v/>
      </c>
      <c r="S58" s="3">
        <f>SUMIFS(Datos!$J$2:$J$481,Datos!$C$2:$C$481,Q58)</f>
        <v/>
      </c>
    </row>
    <row r="59">
      <c r="Q59" t="inlineStr">
        <is>
          <t>Fénix Foods</t>
        </is>
      </c>
      <c r="R59">
        <f>COUNTIF(Datos!$C$2:$C$481,Q59)</f>
        <v/>
      </c>
      <c r="S59" s="3">
        <f>SUMIFS(Datos!$J$2:$J$481,Datos!$C$2:$C$481,Q59)</f>
        <v/>
      </c>
    </row>
    <row r="60">
      <c r="Q60" t="inlineStr">
        <is>
          <t>Fénix Group</t>
        </is>
      </c>
      <c r="R60">
        <f>COUNTIF(Datos!$C$2:$C$481,Q60)</f>
        <v/>
      </c>
      <c r="S60" s="3">
        <f>SUMIFS(Datos!$J$2:$J$481,Datos!$C$2:$C$481,Q60)</f>
        <v/>
      </c>
    </row>
    <row r="61">
      <c r="Q61" t="inlineStr">
        <is>
          <t>Fénix Import</t>
        </is>
      </c>
      <c r="R61">
        <f>COUNTIF(Datos!$C$2:$C$481,Q61)</f>
        <v/>
      </c>
      <c r="S61" s="3">
        <f>SUMIFS(Datos!$J$2:$J$481,Datos!$C$2:$C$481,Q61)</f>
        <v/>
      </c>
    </row>
    <row r="62">
      <c r="Q62" t="inlineStr">
        <is>
          <t>Fénix Logística</t>
        </is>
      </c>
      <c r="R62">
        <f>COUNTIF(Datos!$C$2:$C$481,Q62)</f>
        <v/>
      </c>
      <c r="S62" s="3">
        <f>SUMIFS(Datos!$J$2:$J$481,Datos!$C$2:$C$481,Q62)</f>
        <v/>
      </c>
    </row>
    <row r="63">
      <c r="Q63" t="inlineStr">
        <is>
          <t>Fénix Ltda.</t>
        </is>
      </c>
      <c r="R63">
        <f>COUNTIF(Datos!$C$2:$C$481,Q63)</f>
        <v/>
      </c>
      <c r="S63" s="3">
        <f>SUMIFS(Datos!$J$2:$J$481,Datos!$C$2:$C$481,Q63)</f>
        <v/>
      </c>
    </row>
    <row r="64">
      <c r="Q64" t="inlineStr">
        <is>
          <t>Fénix Retail</t>
        </is>
      </c>
      <c r="R64">
        <f>COUNTIF(Datos!$C$2:$C$481,Q64)</f>
        <v/>
      </c>
      <c r="S64" s="3">
        <f>SUMIFS(Datos!$J$2:$J$481,Datos!$C$2:$C$481,Q64)</f>
        <v/>
      </c>
    </row>
    <row r="65">
      <c r="Q65" t="inlineStr">
        <is>
          <t>Fénix S.A.C.</t>
        </is>
      </c>
      <c r="R65">
        <f>COUNTIF(Datos!$C$2:$C$481,Q65)</f>
        <v/>
      </c>
      <c r="S65" s="3">
        <f>SUMIFS(Datos!$J$2:$J$481,Datos!$C$2:$C$481,Q65)</f>
        <v/>
      </c>
    </row>
    <row r="66">
      <c r="Q66" t="inlineStr">
        <is>
          <t>Fénix Servicios</t>
        </is>
      </c>
      <c r="R66">
        <f>COUNTIF(Datos!$C$2:$C$481,Q66)</f>
        <v/>
      </c>
      <c r="S66" s="3">
        <f>SUMIFS(Datos!$J$2:$J$481,Datos!$C$2:$C$481,Q66)</f>
        <v/>
      </c>
    </row>
    <row r="67">
      <c r="Q67" t="inlineStr">
        <is>
          <t>Fénix Tech</t>
        </is>
      </c>
      <c r="R67">
        <f>COUNTIF(Datos!$C$2:$C$481,Q67)</f>
        <v/>
      </c>
      <c r="S67" s="3">
        <f>SUMIFS(Datos!$J$2:$J$481,Datos!$C$2:$C$481,Q67)</f>
        <v/>
      </c>
    </row>
    <row r="68">
      <c r="Q68" t="inlineStr">
        <is>
          <t>Gama Comercial</t>
        </is>
      </c>
      <c r="R68">
        <f>COUNTIF(Datos!$C$2:$C$481,Q68)</f>
        <v/>
      </c>
      <c r="S68" s="3">
        <f>SUMIFS(Datos!$J$2:$J$481,Datos!$C$2:$C$481,Q68)</f>
        <v/>
      </c>
    </row>
    <row r="69">
      <c r="Q69" t="inlineStr">
        <is>
          <t>Gama Foods</t>
        </is>
      </c>
      <c r="R69">
        <f>COUNTIF(Datos!$C$2:$C$481,Q69)</f>
        <v/>
      </c>
      <c r="S69" s="3">
        <f>SUMIFS(Datos!$J$2:$J$481,Datos!$C$2:$C$481,Q69)</f>
        <v/>
      </c>
    </row>
    <row r="70">
      <c r="Q70" t="inlineStr">
        <is>
          <t>Gama Group</t>
        </is>
      </c>
      <c r="R70">
        <f>COUNTIF(Datos!$C$2:$C$481,Q70)</f>
        <v/>
      </c>
      <c r="S70" s="3">
        <f>SUMIFS(Datos!$J$2:$J$481,Datos!$C$2:$C$481,Q70)</f>
        <v/>
      </c>
    </row>
    <row r="71">
      <c r="Q71" t="inlineStr">
        <is>
          <t>Gama Import</t>
        </is>
      </c>
      <c r="R71">
        <f>COUNTIF(Datos!$C$2:$C$481,Q71)</f>
        <v/>
      </c>
      <c r="S71" s="3">
        <f>SUMIFS(Datos!$J$2:$J$481,Datos!$C$2:$C$481,Q71)</f>
        <v/>
      </c>
    </row>
    <row r="72">
      <c r="Q72" t="inlineStr">
        <is>
          <t>Gama Logística</t>
        </is>
      </c>
      <c r="R72">
        <f>COUNTIF(Datos!$C$2:$C$481,Q72)</f>
        <v/>
      </c>
      <c r="S72" s="3">
        <f>SUMIFS(Datos!$J$2:$J$481,Datos!$C$2:$C$481,Q72)</f>
        <v/>
      </c>
    </row>
    <row r="73">
      <c r="Q73" t="inlineStr">
        <is>
          <t>Gama Ltda.</t>
        </is>
      </c>
      <c r="R73">
        <f>COUNTIF(Datos!$C$2:$C$481,Q73)</f>
        <v/>
      </c>
      <c r="S73" s="3">
        <f>SUMIFS(Datos!$J$2:$J$481,Datos!$C$2:$C$481,Q73)</f>
        <v/>
      </c>
    </row>
    <row r="74">
      <c r="Q74" t="inlineStr">
        <is>
          <t>Gama Retail</t>
        </is>
      </c>
      <c r="R74">
        <f>COUNTIF(Datos!$C$2:$C$481,Q74)</f>
        <v/>
      </c>
      <c r="S74" s="3">
        <f>SUMIFS(Datos!$J$2:$J$481,Datos!$C$2:$C$481,Q74)</f>
        <v/>
      </c>
    </row>
    <row r="75">
      <c r="Q75" t="inlineStr">
        <is>
          <t>Gama S.A.</t>
        </is>
      </c>
      <c r="R75">
        <f>COUNTIF(Datos!$C$2:$C$481,Q75)</f>
        <v/>
      </c>
      <c r="S75" s="3">
        <f>SUMIFS(Datos!$J$2:$J$481,Datos!$C$2:$C$481,Q75)</f>
        <v/>
      </c>
    </row>
    <row r="76">
      <c r="Q76" t="inlineStr">
        <is>
          <t>Gama Servicios</t>
        </is>
      </c>
      <c r="R76">
        <f>COUNTIF(Datos!$C$2:$C$481,Q76)</f>
        <v/>
      </c>
      <c r="S76" s="3">
        <f>SUMIFS(Datos!$J$2:$J$481,Datos!$C$2:$C$481,Q76)</f>
        <v/>
      </c>
    </row>
    <row r="77">
      <c r="Q77" t="inlineStr">
        <is>
          <t>Gama Tech</t>
        </is>
      </c>
      <c r="R77">
        <f>COUNTIF(Datos!$C$2:$C$481,Q77)</f>
        <v/>
      </c>
      <c r="S77" s="3">
        <f>SUMIFS(Datos!$J$2:$J$481,Datos!$C$2:$C$481,Q77)</f>
        <v/>
      </c>
    </row>
    <row r="78">
      <c r="Q78" t="inlineStr">
        <is>
          <t>Huaca Comercial</t>
        </is>
      </c>
      <c r="R78">
        <f>COUNTIF(Datos!$C$2:$C$481,Q78)</f>
        <v/>
      </c>
      <c r="S78" s="3">
        <f>SUMIFS(Datos!$J$2:$J$481,Datos!$C$2:$C$481,Q78)</f>
        <v/>
      </c>
    </row>
    <row r="79">
      <c r="Q79" t="inlineStr">
        <is>
          <t>Huaca Foods</t>
        </is>
      </c>
      <c r="R79">
        <f>COUNTIF(Datos!$C$2:$C$481,Q79)</f>
        <v/>
      </c>
      <c r="S79" s="3">
        <f>SUMIFS(Datos!$J$2:$J$481,Datos!$C$2:$C$481,Q79)</f>
        <v/>
      </c>
    </row>
    <row r="80">
      <c r="Q80" t="inlineStr">
        <is>
          <t>Huaca Group</t>
        </is>
      </c>
      <c r="R80">
        <f>COUNTIF(Datos!$C$2:$C$481,Q80)</f>
        <v/>
      </c>
      <c r="S80" s="3">
        <f>SUMIFS(Datos!$J$2:$J$481,Datos!$C$2:$C$481,Q80)</f>
        <v/>
      </c>
    </row>
    <row r="81">
      <c r="Q81" t="inlineStr">
        <is>
          <t>Huaca Import</t>
        </is>
      </c>
      <c r="R81">
        <f>COUNTIF(Datos!$C$2:$C$481,Q81)</f>
        <v/>
      </c>
      <c r="S81" s="3">
        <f>SUMIFS(Datos!$J$2:$J$481,Datos!$C$2:$C$481,Q81)</f>
        <v/>
      </c>
    </row>
    <row r="82">
      <c r="Q82" t="inlineStr">
        <is>
          <t>Huaca Logística</t>
        </is>
      </c>
      <c r="R82">
        <f>COUNTIF(Datos!$C$2:$C$481,Q82)</f>
        <v/>
      </c>
      <c r="S82" s="3">
        <f>SUMIFS(Datos!$J$2:$J$481,Datos!$C$2:$C$481,Q82)</f>
        <v/>
      </c>
    </row>
    <row r="83">
      <c r="Q83" t="inlineStr">
        <is>
          <t>Huaca Ltda.</t>
        </is>
      </c>
      <c r="R83">
        <f>COUNTIF(Datos!$C$2:$C$481,Q83)</f>
        <v/>
      </c>
      <c r="S83" s="3">
        <f>SUMIFS(Datos!$J$2:$J$481,Datos!$C$2:$C$481,Q83)</f>
        <v/>
      </c>
    </row>
    <row r="84">
      <c r="Q84" t="inlineStr">
        <is>
          <t>Huaca Retail</t>
        </is>
      </c>
      <c r="R84">
        <f>COUNTIF(Datos!$C$2:$C$481,Q84)</f>
        <v/>
      </c>
      <c r="S84" s="3">
        <f>SUMIFS(Datos!$J$2:$J$481,Datos!$C$2:$C$481,Q84)</f>
        <v/>
      </c>
    </row>
    <row r="85">
      <c r="Q85" t="inlineStr">
        <is>
          <t>Huaca S.A.</t>
        </is>
      </c>
      <c r="R85">
        <f>COUNTIF(Datos!$C$2:$C$481,Q85)</f>
        <v/>
      </c>
      <c r="S85" s="3">
        <f>SUMIFS(Datos!$J$2:$J$481,Datos!$C$2:$C$481,Q85)</f>
        <v/>
      </c>
    </row>
    <row r="86">
      <c r="Q86" t="inlineStr">
        <is>
          <t>Huaca S.A.C.</t>
        </is>
      </c>
      <c r="R86">
        <f>COUNTIF(Datos!$C$2:$C$481,Q86)</f>
        <v/>
      </c>
      <c r="S86" s="3">
        <f>SUMIFS(Datos!$J$2:$J$481,Datos!$C$2:$C$481,Q86)</f>
        <v/>
      </c>
    </row>
    <row r="87">
      <c r="Q87" t="inlineStr">
        <is>
          <t>Huaca Servicios</t>
        </is>
      </c>
      <c r="R87">
        <f>COUNTIF(Datos!$C$2:$C$481,Q87)</f>
        <v/>
      </c>
      <c r="S87" s="3">
        <f>SUMIFS(Datos!$J$2:$J$481,Datos!$C$2:$C$481,Q87)</f>
        <v/>
      </c>
    </row>
    <row r="88">
      <c r="Q88" t="inlineStr">
        <is>
          <t>Huaca Tech</t>
        </is>
      </c>
      <c r="R88">
        <f>COUNTIF(Datos!$C$2:$C$481,Q88)</f>
        <v/>
      </c>
      <c r="S88" s="3">
        <f>SUMIFS(Datos!$J$2:$J$481,Datos!$C$2:$C$481,Q88)</f>
        <v/>
      </c>
    </row>
    <row r="89">
      <c r="Q89" t="inlineStr">
        <is>
          <t>Jade Comercial</t>
        </is>
      </c>
      <c r="R89">
        <f>COUNTIF(Datos!$C$2:$C$481,Q89)</f>
        <v/>
      </c>
      <c r="S89" s="3">
        <f>SUMIFS(Datos!$J$2:$J$481,Datos!$C$2:$C$481,Q89)</f>
        <v/>
      </c>
    </row>
    <row r="90">
      <c r="Q90" t="inlineStr">
        <is>
          <t>Jade Foods</t>
        </is>
      </c>
      <c r="R90">
        <f>COUNTIF(Datos!$C$2:$C$481,Q90)</f>
        <v/>
      </c>
      <c r="S90" s="3">
        <f>SUMIFS(Datos!$J$2:$J$481,Datos!$C$2:$C$481,Q90)</f>
        <v/>
      </c>
    </row>
    <row r="91">
      <c r="Q91" t="inlineStr">
        <is>
          <t>Jade Group</t>
        </is>
      </c>
      <c r="R91">
        <f>COUNTIF(Datos!$C$2:$C$481,Q91)</f>
        <v/>
      </c>
      <c r="S91" s="3">
        <f>SUMIFS(Datos!$J$2:$J$481,Datos!$C$2:$C$481,Q91)</f>
        <v/>
      </c>
    </row>
    <row r="92">
      <c r="Q92" t="inlineStr">
        <is>
          <t>Jade Import</t>
        </is>
      </c>
      <c r="R92">
        <f>COUNTIF(Datos!$C$2:$C$481,Q92)</f>
        <v/>
      </c>
      <c r="S92" s="3">
        <f>SUMIFS(Datos!$J$2:$J$481,Datos!$C$2:$C$481,Q92)</f>
        <v/>
      </c>
    </row>
    <row r="93">
      <c r="Q93" t="inlineStr">
        <is>
          <t>Jade Logística</t>
        </is>
      </c>
      <c r="R93">
        <f>COUNTIF(Datos!$C$2:$C$481,Q93)</f>
        <v/>
      </c>
      <c r="S93" s="3">
        <f>SUMIFS(Datos!$J$2:$J$481,Datos!$C$2:$C$481,Q93)</f>
        <v/>
      </c>
    </row>
    <row r="94">
      <c r="Q94" t="inlineStr">
        <is>
          <t>Jade Ltda.</t>
        </is>
      </c>
      <c r="R94">
        <f>COUNTIF(Datos!$C$2:$C$481,Q94)</f>
        <v/>
      </c>
      <c r="S94" s="3">
        <f>SUMIFS(Datos!$J$2:$J$481,Datos!$C$2:$C$481,Q94)</f>
        <v/>
      </c>
    </row>
    <row r="95">
      <c r="Q95" t="inlineStr">
        <is>
          <t>Jade Retail</t>
        </is>
      </c>
      <c r="R95">
        <f>COUNTIF(Datos!$C$2:$C$481,Q95)</f>
        <v/>
      </c>
      <c r="S95" s="3">
        <f>SUMIFS(Datos!$J$2:$J$481,Datos!$C$2:$C$481,Q95)</f>
        <v/>
      </c>
    </row>
    <row r="96">
      <c r="Q96" t="inlineStr">
        <is>
          <t>Jade S.A.</t>
        </is>
      </c>
      <c r="R96">
        <f>COUNTIF(Datos!$C$2:$C$481,Q96)</f>
        <v/>
      </c>
      <c r="S96" s="3">
        <f>SUMIFS(Datos!$J$2:$J$481,Datos!$C$2:$C$481,Q96)</f>
        <v/>
      </c>
    </row>
    <row r="97">
      <c r="Q97" t="inlineStr">
        <is>
          <t>Jade S.A.C.</t>
        </is>
      </c>
      <c r="R97">
        <f>COUNTIF(Datos!$C$2:$C$481,Q97)</f>
        <v/>
      </c>
      <c r="S97" s="3">
        <f>SUMIFS(Datos!$J$2:$J$481,Datos!$C$2:$C$481,Q97)</f>
        <v/>
      </c>
    </row>
    <row r="98">
      <c r="Q98" t="inlineStr">
        <is>
          <t>Jade Servicios</t>
        </is>
      </c>
      <c r="R98">
        <f>COUNTIF(Datos!$C$2:$C$481,Q98)</f>
        <v/>
      </c>
      <c r="S98" s="3">
        <f>SUMIFS(Datos!$J$2:$J$481,Datos!$C$2:$C$481,Q98)</f>
        <v/>
      </c>
    </row>
    <row r="99">
      <c r="Q99" t="inlineStr">
        <is>
          <t>Jade Tech</t>
        </is>
      </c>
      <c r="R99">
        <f>COUNTIF(Datos!$C$2:$C$481,Q99)</f>
        <v/>
      </c>
      <c r="S99" s="3">
        <f>SUMIFS(Datos!$J$2:$J$481,Datos!$C$2:$C$481,Q99)</f>
        <v/>
      </c>
    </row>
    <row r="100">
      <c r="Q100" t="inlineStr">
        <is>
          <t>Kora Comercial</t>
        </is>
      </c>
      <c r="R100">
        <f>COUNTIF(Datos!$C$2:$C$481,Q100)</f>
        <v/>
      </c>
      <c r="S100" s="3">
        <f>SUMIFS(Datos!$J$2:$J$481,Datos!$C$2:$C$481,Q100)</f>
        <v/>
      </c>
    </row>
    <row r="101">
      <c r="Q101" t="inlineStr">
        <is>
          <t>Kora Foods</t>
        </is>
      </c>
      <c r="R101">
        <f>COUNTIF(Datos!$C$2:$C$481,Q101)</f>
        <v/>
      </c>
      <c r="S101" s="3">
        <f>SUMIFS(Datos!$J$2:$J$481,Datos!$C$2:$C$481,Q101)</f>
        <v/>
      </c>
    </row>
    <row r="102">
      <c r="Q102" t="inlineStr">
        <is>
          <t>Kora Group</t>
        </is>
      </c>
      <c r="R102">
        <f>COUNTIF(Datos!$C$2:$C$481,Q102)</f>
        <v/>
      </c>
      <c r="S102" s="3">
        <f>SUMIFS(Datos!$J$2:$J$481,Datos!$C$2:$C$481,Q102)</f>
        <v/>
      </c>
    </row>
    <row r="103">
      <c r="Q103" t="inlineStr">
        <is>
          <t>Kora Import</t>
        </is>
      </c>
      <c r="R103">
        <f>COUNTIF(Datos!$C$2:$C$481,Q103)</f>
        <v/>
      </c>
      <c r="S103" s="3">
        <f>SUMIFS(Datos!$J$2:$J$481,Datos!$C$2:$C$481,Q103)</f>
        <v/>
      </c>
    </row>
    <row r="104">
      <c r="Q104" t="inlineStr">
        <is>
          <t>Kora Logística</t>
        </is>
      </c>
      <c r="R104">
        <f>COUNTIF(Datos!$C$2:$C$481,Q104)</f>
        <v/>
      </c>
      <c r="S104" s="3">
        <f>SUMIFS(Datos!$J$2:$J$481,Datos!$C$2:$C$481,Q104)</f>
        <v/>
      </c>
    </row>
    <row r="105">
      <c r="Q105" t="inlineStr">
        <is>
          <t>Kora Ltda.</t>
        </is>
      </c>
      <c r="R105">
        <f>COUNTIF(Datos!$C$2:$C$481,Q105)</f>
        <v/>
      </c>
      <c r="S105" s="3">
        <f>SUMIFS(Datos!$J$2:$J$481,Datos!$C$2:$C$481,Q105)</f>
        <v/>
      </c>
    </row>
    <row r="106">
      <c r="Q106" t="inlineStr">
        <is>
          <t>Kora Retail</t>
        </is>
      </c>
      <c r="R106">
        <f>COUNTIF(Datos!$C$2:$C$481,Q106)</f>
        <v/>
      </c>
      <c r="S106" s="3">
        <f>SUMIFS(Datos!$J$2:$J$481,Datos!$C$2:$C$481,Q106)</f>
        <v/>
      </c>
    </row>
    <row r="107">
      <c r="Q107" t="inlineStr">
        <is>
          <t>Kora S.A.</t>
        </is>
      </c>
      <c r="R107">
        <f>COUNTIF(Datos!$C$2:$C$481,Q107)</f>
        <v/>
      </c>
      <c r="S107" s="3">
        <f>SUMIFS(Datos!$J$2:$J$481,Datos!$C$2:$C$481,Q107)</f>
        <v/>
      </c>
    </row>
    <row r="108">
      <c r="Q108" t="inlineStr">
        <is>
          <t>Kora S.A.C.</t>
        </is>
      </c>
      <c r="R108">
        <f>COUNTIF(Datos!$C$2:$C$481,Q108)</f>
        <v/>
      </c>
      <c r="S108" s="3">
        <f>SUMIFS(Datos!$J$2:$J$481,Datos!$C$2:$C$481,Q108)</f>
        <v/>
      </c>
    </row>
    <row r="109">
      <c r="Q109" t="inlineStr">
        <is>
          <t>Kora Servicios</t>
        </is>
      </c>
      <c r="R109">
        <f>COUNTIF(Datos!$C$2:$C$481,Q109)</f>
        <v/>
      </c>
      <c r="S109" s="3">
        <f>SUMIFS(Datos!$J$2:$J$481,Datos!$C$2:$C$481,Q109)</f>
        <v/>
      </c>
    </row>
    <row r="110">
      <c r="Q110" t="inlineStr">
        <is>
          <t>Kora Tech</t>
        </is>
      </c>
      <c r="R110">
        <f>COUNTIF(Datos!$C$2:$C$481,Q110)</f>
        <v/>
      </c>
      <c r="S110" s="3">
        <f>SUMIFS(Datos!$J$2:$J$481,Datos!$C$2:$C$481,Q110)</f>
        <v/>
      </c>
    </row>
    <row r="111">
      <c r="Q111" t="inlineStr">
        <is>
          <t>Lago Comercial</t>
        </is>
      </c>
      <c r="R111">
        <f>COUNTIF(Datos!$C$2:$C$481,Q111)</f>
        <v/>
      </c>
      <c r="S111" s="3">
        <f>SUMIFS(Datos!$J$2:$J$481,Datos!$C$2:$C$481,Q111)</f>
        <v/>
      </c>
    </row>
    <row r="112">
      <c r="Q112" t="inlineStr">
        <is>
          <t>Lago Foods</t>
        </is>
      </c>
      <c r="R112">
        <f>COUNTIF(Datos!$C$2:$C$481,Q112)</f>
        <v/>
      </c>
      <c r="S112" s="3">
        <f>SUMIFS(Datos!$J$2:$J$481,Datos!$C$2:$C$481,Q112)</f>
        <v/>
      </c>
    </row>
    <row r="113">
      <c r="Q113" t="inlineStr">
        <is>
          <t>Lago Group</t>
        </is>
      </c>
      <c r="R113">
        <f>COUNTIF(Datos!$C$2:$C$481,Q113)</f>
        <v/>
      </c>
      <c r="S113" s="3">
        <f>SUMIFS(Datos!$J$2:$J$481,Datos!$C$2:$C$481,Q113)</f>
        <v/>
      </c>
    </row>
    <row r="114">
      <c r="Q114" t="inlineStr">
        <is>
          <t>Lago Import</t>
        </is>
      </c>
      <c r="R114">
        <f>COUNTIF(Datos!$C$2:$C$481,Q114)</f>
        <v/>
      </c>
      <c r="S114" s="3">
        <f>SUMIFS(Datos!$J$2:$J$481,Datos!$C$2:$C$481,Q114)</f>
        <v/>
      </c>
    </row>
    <row r="115">
      <c r="Q115" t="inlineStr">
        <is>
          <t>Lago Logística</t>
        </is>
      </c>
      <c r="R115">
        <f>COUNTIF(Datos!$C$2:$C$481,Q115)</f>
        <v/>
      </c>
      <c r="S115" s="3">
        <f>SUMIFS(Datos!$J$2:$J$481,Datos!$C$2:$C$481,Q115)</f>
        <v/>
      </c>
    </row>
    <row r="116">
      <c r="Q116" t="inlineStr">
        <is>
          <t>Lago Ltda.</t>
        </is>
      </c>
      <c r="R116">
        <f>COUNTIF(Datos!$C$2:$C$481,Q116)</f>
        <v/>
      </c>
      <c r="S116" s="3">
        <f>SUMIFS(Datos!$J$2:$J$481,Datos!$C$2:$C$481,Q116)</f>
        <v/>
      </c>
    </row>
    <row r="117">
      <c r="Q117" t="inlineStr">
        <is>
          <t>Lago Retail</t>
        </is>
      </c>
      <c r="R117">
        <f>COUNTIF(Datos!$C$2:$C$481,Q117)</f>
        <v/>
      </c>
      <c r="S117" s="3">
        <f>SUMIFS(Datos!$J$2:$J$481,Datos!$C$2:$C$481,Q117)</f>
        <v/>
      </c>
    </row>
    <row r="118">
      <c r="Q118" t="inlineStr">
        <is>
          <t>Lago S.A.</t>
        </is>
      </c>
      <c r="R118">
        <f>COUNTIF(Datos!$C$2:$C$481,Q118)</f>
        <v/>
      </c>
      <c r="S118" s="3">
        <f>SUMIFS(Datos!$J$2:$J$481,Datos!$C$2:$C$481,Q118)</f>
        <v/>
      </c>
    </row>
    <row r="119">
      <c r="Q119" t="inlineStr">
        <is>
          <t>Lago S.A.C.</t>
        </is>
      </c>
      <c r="R119">
        <f>COUNTIF(Datos!$C$2:$C$481,Q119)</f>
        <v/>
      </c>
      <c r="S119" s="3">
        <f>SUMIFS(Datos!$J$2:$J$481,Datos!$C$2:$C$481,Q119)</f>
        <v/>
      </c>
    </row>
    <row r="120">
      <c r="Q120" t="inlineStr">
        <is>
          <t>Lago Servicios</t>
        </is>
      </c>
      <c r="R120">
        <f>COUNTIF(Datos!$C$2:$C$481,Q120)</f>
        <v/>
      </c>
      <c r="S120" s="3">
        <f>SUMIFS(Datos!$J$2:$J$481,Datos!$C$2:$C$481,Q120)</f>
        <v/>
      </c>
    </row>
    <row r="121">
      <c r="Q121" t="inlineStr">
        <is>
          <t>Lago Tech</t>
        </is>
      </c>
      <c r="R121">
        <f>COUNTIF(Datos!$C$2:$C$481,Q121)</f>
        <v/>
      </c>
      <c r="S121" s="3">
        <f>SUMIFS(Datos!$J$2:$J$481,Datos!$C$2:$C$481,Q121)</f>
        <v/>
      </c>
    </row>
    <row r="122">
      <c r="Q122" t="inlineStr">
        <is>
          <t>Mistura Comercial</t>
        </is>
      </c>
      <c r="R122">
        <f>COUNTIF(Datos!$C$2:$C$481,Q122)</f>
        <v/>
      </c>
      <c r="S122" s="3">
        <f>SUMIFS(Datos!$J$2:$J$481,Datos!$C$2:$C$481,Q122)</f>
        <v/>
      </c>
    </row>
    <row r="123">
      <c r="Q123" t="inlineStr">
        <is>
          <t>Mistura Foods</t>
        </is>
      </c>
      <c r="R123">
        <f>COUNTIF(Datos!$C$2:$C$481,Q123)</f>
        <v/>
      </c>
      <c r="S123" s="3">
        <f>SUMIFS(Datos!$J$2:$J$481,Datos!$C$2:$C$481,Q123)</f>
        <v/>
      </c>
    </row>
    <row r="124">
      <c r="Q124" t="inlineStr">
        <is>
          <t>Mistura Group</t>
        </is>
      </c>
      <c r="R124">
        <f>COUNTIF(Datos!$C$2:$C$481,Q124)</f>
        <v/>
      </c>
      <c r="S124" s="3">
        <f>SUMIFS(Datos!$J$2:$J$481,Datos!$C$2:$C$481,Q124)</f>
        <v/>
      </c>
    </row>
    <row r="125">
      <c r="Q125" t="inlineStr">
        <is>
          <t>Mistura Import</t>
        </is>
      </c>
      <c r="R125">
        <f>COUNTIF(Datos!$C$2:$C$481,Q125)</f>
        <v/>
      </c>
      <c r="S125" s="3">
        <f>SUMIFS(Datos!$J$2:$J$481,Datos!$C$2:$C$481,Q125)</f>
        <v/>
      </c>
    </row>
    <row r="126">
      <c r="Q126" t="inlineStr">
        <is>
          <t>Mistura Logística</t>
        </is>
      </c>
      <c r="R126">
        <f>COUNTIF(Datos!$C$2:$C$481,Q126)</f>
        <v/>
      </c>
      <c r="S126" s="3">
        <f>SUMIFS(Datos!$J$2:$J$481,Datos!$C$2:$C$481,Q126)</f>
        <v/>
      </c>
    </row>
    <row r="127">
      <c r="Q127" t="inlineStr">
        <is>
          <t>Mistura Ltda.</t>
        </is>
      </c>
      <c r="R127">
        <f>COUNTIF(Datos!$C$2:$C$481,Q127)</f>
        <v/>
      </c>
      <c r="S127" s="3">
        <f>SUMIFS(Datos!$J$2:$J$481,Datos!$C$2:$C$481,Q127)</f>
        <v/>
      </c>
    </row>
    <row r="128">
      <c r="Q128" t="inlineStr">
        <is>
          <t>Mistura Retail</t>
        </is>
      </c>
      <c r="R128">
        <f>COUNTIF(Datos!$C$2:$C$481,Q128)</f>
        <v/>
      </c>
      <c r="S128" s="3">
        <f>SUMIFS(Datos!$J$2:$J$481,Datos!$C$2:$C$481,Q128)</f>
        <v/>
      </c>
    </row>
    <row r="129">
      <c r="Q129" t="inlineStr">
        <is>
          <t>Mistura S.A.</t>
        </is>
      </c>
      <c r="R129">
        <f>COUNTIF(Datos!$C$2:$C$481,Q129)</f>
        <v/>
      </c>
      <c r="S129" s="3">
        <f>SUMIFS(Datos!$J$2:$J$481,Datos!$C$2:$C$481,Q129)</f>
        <v/>
      </c>
    </row>
    <row r="130">
      <c r="Q130" t="inlineStr">
        <is>
          <t>Mistura S.A.C.</t>
        </is>
      </c>
      <c r="R130">
        <f>COUNTIF(Datos!$C$2:$C$481,Q130)</f>
        <v/>
      </c>
      <c r="S130" s="3">
        <f>SUMIFS(Datos!$J$2:$J$481,Datos!$C$2:$C$481,Q130)</f>
        <v/>
      </c>
    </row>
    <row r="131">
      <c r="Q131" t="inlineStr">
        <is>
          <t>Mistura Servicios</t>
        </is>
      </c>
      <c r="R131">
        <f>COUNTIF(Datos!$C$2:$C$481,Q131)</f>
        <v/>
      </c>
      <c r="S131" s="3">
        <f>SUMIFS(Datos!$J$2:$J$481,Datos!$C$2:$C$481,Q131)</f>
        <v/>
      </c>
    </row>
    <row r="132">
      <c r="Q132" t="inlineStr">
        <is>
          <t>Mistura Tech</t>
        </is>
      </c>
      <c r="R132">
        <f>COUNTIF(Datos!$C$2:$C$481,Q132)</f>
        <v/>
      </c>
      <c r="S132" s="3">
        <f>SUMIFS(Datos!$J$2:$J$481,Datos!$C$2:$C$481,Q132)</f>
        <v/>
      </c>
    </row>
    <row r="133">
      <c r="Q133" t="inlineStr">
        <is>
          <t>Nexo Comercial</t>
        </is>
      </c>
      <c r="R133">
        <f>COUNTIF(Datos!$C$2:$C$481,Q133)</f>
        <v/>
      </c>
      <c r="S133" s="3">
        <f>SUMIFS(Datos!$J$2:$J$481,Datos!$C$2:$C$481,Q133)</f>
        <v/>
      </c>
    </row>
    <row r="134">
      <c r="Q134" t="inlineStr">
        <is>
          <t>Nexo Foods</t>
        </is>
      </c>
      <c r="R134">
        <f>COUNTIF(Datos!$C$2:$C$481,Q134)</f>
        <v/>
      </c>
      <c r="S134" s="3">
        <f>SUMIFS(Datos!$J$2:$J$481,Datos!$C$2:$C$481,Q134)</f>
        <v/>
      </c>
    </row>
    <row r="135">
      <c r="Q135" t="inlineStr">
        <is>
          <t>Nexo Group</t>
        </is>
      </c>
      <c r="R135">
        <f>COUNTIF(Datos!$C$2:$C$481,Q135)</f>
        <v/>
      </c>
      <c r="S135" s="3">
        <f>SUMIFS(Datos!$J$2:$J$481,Datos!$C$2:$C$481,Q135)</f>
        <v/>
      </c>
    </row>
    <row r="136">
      <c r="Q136" t="inlineStr">
        <is>
          <t>Nexo Import</t>
        </is>
      </c>
      <c r="R136">
        <f>COUNTIF(Datos!$C$2:$C$481,Q136)</f>
        <v/>
      </c>
      <c r="S136" s="3">
        <f>SUMIFS(Datos!$J$2:$J$481,Datos!$C$2:$C$481,Q136)</f>
        <v/>
      </c>
    </row>
    <row r="137">
      <c r="Q137" t="inlineStr">
        <is>
          <t>Nexo Logística</t>
        </is>
      </c>
      <c r="R137">
        <f>COUNTIF(Datos!$C$2:$C$481,Q137)</f>
        <v/>
      </c>
      <c r="S137" s="3">
        <f>SUMIFS(Datos!$J$2:$J$481,Datos!$C$2:$C$481,Q137)</f>
        <v/>
      </c>
    </row>
    <row r="138">
      <c r="Q138" t="inlineStr">
        <is>
          <t>Nexo Ltda.</t>
        </is>
      </c>
      <c r="R138">
        <f>COUNTIF(Datos!$C$2:$C$481,Q138)</f>
        <v/>
      </c>
      <c r="S138" s="3">
        <f>SUMIFS(Datos!$J$2:$J$481,Datos!$C$2:$C$481,Q138)</f>
        <v/>
      </c>
    </row>
    <row r="139">
      <c r="Q139" t="inlineStr">
        <is>
          <t>Nexo Retail</t>
        </is>
      </c>
      <c r="R139">
        <f>COUNTIF(Datos!$C$2:$C$481,Q139)</f>
        <v/>
      </c>
      <c r="S139" s="3">
        <f>SUMIFS(Datos!$J$2:$J$481,Datos!$C$2:$C$481,Q139)</f>
        <v/>
      </c>
    </row>
    <row r="140">
      <c r="Q140" t="inlineStr">
        <is>
          <t>Nexo S.A.</t>
        </is>
      </c>
      <c r="R140">
        <f>COUNTIF(Datos!$C$2:$C$481,Q140)</f>
        <v/>
      </c>
      <c r="S140" s="3">
        <f>SUMIFS(Datos!$J$2:$J$481,Datos!$C$2:$C$481,Q140)</f>
        <v/>
      </c>
    </row>
    <row r="141">
      <c r="Q141" t="inlineStr">
        <is>
          <t>Nexo S.A.C.</t>
        </is>
      </c>
      <c r="R141">
        <f>COUNTIF(Datos!$C$2:$C$481,Q141)</f>
        <v/>
      </c>
      <c r="S141" s="3">
        <f>SUMIFS(Datos!$J$2:$J$481,Datos!$C$2:$C$481,Q141)</f>
        <v/>
      </c>
    </row>
    <row r="142">
      <c r="Q142" t="inlineStr">
        <is>
          <t>Nexo Servicios</t>
        </is>
      </c>
      <c r="R142">
        <f>COUNTIF(Datos!$C$2:$C$481,Q142)</f>
        <v/>
      </c>
      <c r="S142" s="3">
        <f>SUMIFS(Datos!$J$2:$J$481,Datos!$C$2:$C$481,Q142)</f>
        <v/>
      </c>
    </row>
    <row r="143">
      <c r="Q143" t="inlineStr">
        <is>
          <t>Nexo Tech</t>
        </is>
      </c>
      <c r="R143">
        <f>COUNTIF(Datos!$C$2:$C$481,Q143)</f>
        <v/>
      </c>
      <c r="S143" s="3">
        <f>SUMIFS(Datos!$J$2:$J$481,Datos!$C$2:$C$481,Q143)</f>
        <v/>
      </c>
    </row>
    <row r="144">
      <c r="Q144" t="inlineStr">
        <is>
          <t>Ola Comercial</t>
        </is>
      </c>
      <c r="R144">
        <f>COUNTIF(Datos!$C$2:$C$481,Q144)</f>
        <v/>
      </c>
      <c r="S144" s="3">
        <f>SUMIFS(Datos!$J$2:$J$481,Datos!$C$2:$C$481,Q144)</f>
        <v/>
      </c>
    </row>
    <row r="145">
      <c r="Q145" t="inlineStr">
        <is>
          <t>Ola Foods</t>
        </is>
      </c>
      <c r="R145">
        <f>COUNTIF(Datos!$C$2:$C$481,Q145)</f>
        <v/>
      </c>
      <c r="S145" s="3">
        <f>SUMIFS(Datos!$J$2:$J$481,Datos!$C$2:$C$481,Q145)</f>
        <v/>
      </c>
    </row>
    <row r="146">
      <c r="Q146" t="inlineStr">
        <is>
          <t>Ola Group</t>
        </is>
      </c>
      <c r="R146">
        <f>COUNTIF(Datos!$C$2:$C$481,Q146)</f>
        <v/>
      </c>
      <c r="S146" s="3">
        <f>SUMIFS(Datos!$J$2:$J$481,Datos!$C$2:$C$481,Q146)</f>
        <v/>
      </c>
    </row>
    <row r="147">
      <c r="Q147" t="inlineStr">
        <is>
          <t>Ola Import</t>
        </is>
      </c>
      <c r="R147">
        <f>COUNTIF(Datos!$C$2:$C$481,Q147)</f>
        <v/>
      </c>
      <c r="S147" s="3">
        <f>SUMIFS(Datos!$J$2:$J$481,Datos!$C$2:$C$481,Q147)</f>
        <v/>
      </c>
    </row>
    <row r="148">
      <c r="Q148" t="inlineStr">
        <is>
          <t>Ola Logística</t>
        </is>
      </c>
      <c r="R148">
        <f>COUNTIF(Datos!$C$2:$C$481,Q148)</f>
        <v/>
      </c>
      <c r="S148" s="3">
        <f>SUMIFS(Datos!$J$2:$J$481,Datos!$C$2:$C$481,Q148)</f>
        <v/>
      </c>
    </row>
    <row r="149">
      <c r="Q149" t="inlineStr">
        <is>
          <t>Ola Ltda.</t>
        </is>
      </c>
      <c r="R149">
        <f>COUNTIF(Datos!$C$2:$C$481,Q149)</f>
        <v/>
      </c>
      <c r="S149" s="3">
        <f>SUMIFS(Datos!$J$2:$J$481,Datos!$C$2:$C$481,Q149)</f>
        <v/>
      </c>
    </row>
    <row r="150">
      <c r="Q150" t="inlineStr">
        <is>
          <t>Ola Retail</t>
        </is>
      </c>
      <c r="R150">
        <f>COUNTIF(Datos!$C$2:$C$481,Q150)</f>
        <v/>
      </c>
      <c r="S150" s="3">
        <f>SUMIFS(Datos!$J$2:$J$481,Datos!$C$2:$C$481,Q150)</f>
        <v/>
      </c>
    </row>
    <row r="151">
      <c r="Q151" t="inlineStr">
        <is>
          <t>Ola S.A.</t>
        </is>
      </c>
      <c r="R151">
        <f>COUNTIF(Datos!$C$2:$C$481,Q151)</f>
        <v/>
      </c>
      <c r="S151" s="3">
        <f>SUMIFS(Datos!$J$2:$J$481,Datos!$C$2:$C$481,Q151)</f>
        <v/>
      </c>
    </row>
    <row r="152">
      <c r="Q152" t="inlineStr">
        <is>
          <t>Ola S.A.C.</t>
        </is>
      </c>
      <c r="R152">
        <f>COUNTIF(Datos!$C$2:$C$481,Q152)</f>
        <v/>
      </c>
      <c r="S152" s="3">
        <f>SUMIFS(Datos!$J$2:$J$481,Datos!$C$2:$C$481,Q152)</f>
        <v/>
      </c>
    </row>
    <row r="153">
      <c r="Q153" t="inlineStr">
        <is>
          <t>Ola Servicios</t>
        </is>
      </c>
      <c r="R153">
        <f>COUNTIF(Datos!$C$2:$C$481,Q153)</f>
        <v/>
      </c>
      <c r="S153" s="3">
        <f>SUMIFS(Datos!$J$2:$J$481,Datos!$C$2:$C$481,Q153)</f>
        <v/>
      </c>
    </row>
    <row r="154">
      <c r="Q154" t="inlineStr">
        <is>
          <t>Ola Tech</t>
        </is>
      </c>
      <c r="R154">
        <f>COUNTIF(Datos!$C$2:$C$481,Q154)</f>
        <v/>
      </c>
      <c r="S154" s="3">
        <f>SUMIFS(Datos!$J$2:$J$481,Datos!$C$2:$C$481,Q154)</f>
        <v/>
      </c>
    </row>
    <row r="155">
      <c r="Q155" t="inlineStr">
        <is>
          <t>Puna Comercial</t>
        </is>
      </c>
      <c r="R155">
        <f>COUNTIF(Datos!$C$2:$C$481,Q155)</f>
        <v/>
      </c>
      <c r="S155" s="3">
        <f>SUMIFS(Datos!$J$2:$J$481,Datos!$C$2:$C$481,Q155)</f>
        <v/>
      </c>
    </row>
    <row r="156">
      <c r="Q156" t="inlineStr">
        <is>
          <t>Puna Foods</t>
        </is>
      </c>
      <c r="R156">
        <f>COUNTIF(Datos!$C$2:$C$481,Q156)</f>
        <v/>
      </c>
      <c r="S156" s="3">
        <f>SUMIFS(Datos!$J$2:$J$481,Datos!$C$2:$C$481,Q156)</f>
        <v/>
      </c>
    </row>
    <row r="157">
      <c r="Q157" t="inlineStr">
        <is>
          <t>Puna Group</t>
        </is>
      </c>
      <c r="R157">
        <f>COUNTIF(Datos!$C$2:$C$481,Q157)</f>
        <v/>
      </c>
      <c r="S157" s="3">
        <f>SUMIFS(Datos!$J$2:$J$481,Datos!$C$2:$C$481,Q157)</f>
        <v/>
      </c>
    </row>
    <row r="158">
      <c r="Q158" t="inlineStr">
        <is>
          <t>Puna Import</t>
        </is>
      </c>
      <c r="R158">
        <f>COUNTIF(Datos!$C$2:$C$481,Q158)</f>
        <v/>
      </c>
      <c r="S158" s="3">
        <f>SUMIFS(Datos!$J$2:$J$481,Datos!$C$2:$C$481,Q158)</f>
        <v/>
      </c>
    </row>
    <row r="159">
      <c r="Q159" t="inlineStr">
        <is>
          <t>Puna Logística</t>
        </is>
      </c>
      <c r="R159">
        <f>COUNTIF(Datos!$C$2:$C$481,Q159)</f>
        <v/>
      </c>
      <c r="S159" s="3">
        <f>SUMIFS(Datos!$J$2:$J$481,Datos!$C$2:$C$481,Q159)</f>
        <v/>
      </c>
    </row>
    <row r="160">
      <c r="Q160" t="inlineStr">
        <is>
          <t>Puna Ltda.</t>
        </is>
      </c>
      <c r="R160">
        <f>COUNTIF(Datos!$C$2:$C$481,Q160)</f>
        <v/>
      </c>
      <c r="S160" s="3">
        <f>SUMIFS(Datos!$J$2:$J$481,Datos!$C$2:$C$481,Q160)</f>
        <v/>
      </c>
    </row>
    <row r="161">
      <c r="Q161" t="inlineStr">
        <is>
          <t>Puna Retail</t>
        </is>
      </c>
      <c r="R161">
        <f>COUNTIF(Datos!$C$2:$C$481,Q161)</f>
        <v/>
      </c>
      <c r="S161" s="3">
        <f>SUMIFS(Datos!$J$2:$J$481,Datos!$C$2:$C$481,Q161)</f>
        <v/>
      </c>
    </row>
    <row r="162">
      <c r="Q162" t="inlineStr">
        <is>
          <t>Puna S.A.</t>
        </is>
      </c>
      <c r="R162">
        <f>COUNTIF(Datos!$C$2:$C$481,Q162)</f>
        <v/>
      </c>
      <c r="S162" s="3">
        <f>SUMIFS(Datos!$J$2:$J$481,Datos!$C$2:$C$481,Q162)</f>
        <v/>
      </c>
    </row>
    <row r="163">
      <c r="Q163" t="inlineStr">
        <is>
          <t>Puna S.A.C.</t>
        </is>
      </c>
      <c r="R163">
        <f>COUNTIF(Datos!$C$2:$C$481,Q163)</f>
        <v/>
      </c>
      <c r="S163" s="3">
        <f>SUMIFS(Datos!$J$2:$J$481,Datos!$C$2:$C$481,Q163)</f>
        <v/>
      </c>
    </row>
    <row r="164">
      <c r="Q164" t="inlineStr">
        <is>
          <t>Puna Servicios</t>
        </is>
      </c>
      <c r="R164">
        <f>COUNTIF(Datos!$C$2:$C$481,Q164)</f>
        <v/>
      </c>
      <c r="S164" s="3">
        <f>SUMIFS(Datos!$J$2:$J$481,Datos!$C$2:$C$481,Q164)</f>
        <v/>
      </c>
    </row>
    <row r="165">
      <c r="Q165" t="inlineStr">
        <is>
          <t>Puna Tech</t>
        </is>
      </c>
      <c r="R165">
        <f>COUNTIF(Datos!$C$2:$C$481,Q165)</f>
        <v/>
      </c>
      <c r="S165" s="3">
        <f>SUMIFS(Datos!$J$2:$J$481,Datos!$C$2:$C$481,Q165)</f>
        <v/>
      </c>
    </row>
    <row r="166">
      <c r="Q166" t="inlineStr">
        <is>
          <t>Quipu Comercial</t>
        </is>
      </c>
      <c r="R166">
        <f>COUNTIF(Datos!$C$2:$C$481,Q166)</f>
        <v/>
      </c>
      <c r="S166" s="3">
        <f>SUMIFS(Datos!$J$2:$J$481,Datos!$C$2:$C$481,Q166)</f>
        <v/>
      </c>
    </row>
    <row r="167">
      <c r="Q167" t="inlineStr">
        <is>
          <t>Quipu Foods</t>
        </is>
      </c>
      <c r="R167">
        <f>COUNTIF(Datos!$C$2:$C$481,Q167)</f>
        <v/>
      </c>
      <c r="S167" s="3">
        <f>SUMIFS(Datos!$J$2:$J$481,Datos!$C$2:$C$481,Q167)</f>
        <v/>
      </c>
    </row>
    <row r="168">
      <c r="Q168" t="inlineStr">
        <is>
          <t>Quipu Group</t>
        </is>
      </c>
      <c r="R168">
        <f>COUNTIF(Datos!$C$2:$C$481,Q168)</f>
        <v/>
      </c>
      <c r="S168" s="3">
        <f>SUMIFS(Datos!$J$2:$J$481,Datos!$C$2:$C$481,Q168)</f>
        <v/>
      </c>
    </row>
    <row r="169">
      <c r="Q169" t="inlineStr">
        <is>
          <t>Quipu Import</t>
        </is>
      </c>
      <c r="R169">
        <f>COUNTIF(Datos!$C$2:$C$481,Q169)</f>
        <v/>
      </c>
      <c r="S169" s="3">
        <f>SUMIFS(Datos!$J$2:$J$481,Datos!$C$2:$C$481,Q169)</f>
        <v/>
      </c>
    </row>
    <row r="170">
      <c r="Q170" t="inlineStr">
        <is>
          <t>Quipu Logística</t>
        </is>
      </c>
      <c r="R170">
        <f>COUNTIF(Datos!$C$2:$C$481,Q170)</f>
        <v/>
      </c>
      <c r="S170" s="3">
        <f>SUMIFS(Datos!$J$2:$J$481,Datos!$C$2:$C$481,Q170)</f>
        <v/>
      </c>
    </row>
    <row r="171">
      <c r="Q171" t="inlineStr">
        <is>
          <t>Quipu Ltda.</t>
        </is>
      </c>
      <c r="R171">
        <f>COUNTIF(Datos!$C$2:$C$481,Q171)</f>
        <v/>
      </c>
      <c r="S171" s="3">
        <f>SUMIFS(Datos!$J$2:$J$481,Datos!$C$2:$C$481,Q171)</f>
        <v/>
      </c>
    </row>
    <row r="172">
      <c r="Q172" t="inlineStr">
        <is>
          <t>Quipu Retail</t>
        </is>
      </c>
      <c r="R172">
        <f>COUNTIF(Datos!$C$2:$C$481,Q172)</f>
        <v/>
      </c>
      <c r="S172" s="3">
        <f>SUMIFS(Datos!$J$2:$J$481,Datos!$C$2:$C$481,Q172)</f>
        <v/>
      </c>
    </row>
    <row r="173">
      <c r="Q173" t="inlineStr">
        <is>
          <t>Quipu S.A.</t>
        </is>
      </c>
      <c r="R173">
        <f>COUNTIF(Datos!$C$2:$C$481,Q173)</f>
        <v/>
      </c>
      <c r="S173" s="3">
        <f>SUMIFS(Datos!$J$2:$J$481,Datos!$C$2:$C$481,Q173)</f>
        <v/>
      </c>
    </row>
    <row r="174">
      <c r="Q174" t="inlineStr">
        <is>
          <t>Quipu S.A.C.</t>
        </is>
      </c>
      <c r="R174">
        <f>COUNTIF(Datos!$C$2:$C$481,Q174)</f>
        <v/>
      </c>
      <c r="S174" s="3">
        <f>SUMIFS(Datos!$J$2:$J$481,Datos!$C$2:$C$481,Q174)</f>
        <v/>
      </c>
    </row>
    <row r="175">
      <c r="Q175" t="inlineStr">
        <is>
          <t>Quipu Servicios</t>
        </is>
      </c>
      <c r="R175">
        <f>COUNTIF(Datos!$C$2:$C$481,Q175)</f>
        <v/>
      </c>
      <c r="S175" s="3">
        <f>SUMIFS(Datos!$J$2:$J$481,Datos!$C$2:$C$481,Q175)</f>
        <v/>
      </c>
    </row>
    <row r="176">
      <c r="Q176" t="inlineStr">
        <is>
          <t>Quipu Tech</t>
        </is>
      </c>
      <c r="R176">
        <f>COUNTIF(Datos!$C$2:$C$481,Q176)</f>
        <v/>
      </c>
      <c r="S176" s="3">
        <f>SUMIFS(Datos!$J$2:$J$481,Datos!$C$2:$C$481,Q176)</f>
        <v/>
      </c>
    </row>
    <row r="177">
      <c r="Q177" t="inlineStr">
        <is>
          <t>Río Comercial</t>
        </is>
      </c>
      <c r="R177">
        <f>COUNTIF(Datos!$C$2:$C$481,Q177)</f>
        <v/>
      </c>
      <c r="S177" s="3">
        <f>SUMIFS(Datos!$J$2:$J$481,Datos!$C$2:$C$481,Q177)</f>
        <v/>
      </c>
    </row>
    <row r="178">
      <c r="Q178" t="inlineStr">
        <is>
          <t>Río Foods</t>
        </is>
      </c>
      <c r="R178">
        <f>COUNTIF(Datos!$C$2:$C$481,Q178)</f>
        <v/>
      </c>
      <c r="S178" s="3">
        <f>SUMIFS(Datos!$J$2:$J$481,Datos!$C$2:$C$481,Q178)</f>
        <v/>
      </c>
    </row>
    <row r="179">
      <c r="Q179" t="inlineStr">
        <is>
          <t>Río Group</t>
        </is>
      </c>
      <c r="R179">
        <f>COUNTIF(Datos!$C$2:$C$481,Q179)</f>
        <v/>
      </c>
      <c r="S179" s="3">
        <f>SUMIFS(Datos!$J$2:$J$481,Datos!$C$2:$C$481,Q179)</f>
        <v/>
      </c>
    </row>
    <row r="180">
      <c r="Q180" t="inlineStr">
        <is>
          <t>Río Import</t>
        </is>
      </c>
      <c r="R180">
        <f>COUNTIF(Datos!$C$2:$C$481,Q180)</f>
        <v/>
      </c>
      <c r="S180" s="3">
        <f>SUMIFS(Datos!$J$2:$J$481,Datos!$C$2:$C$481,Q180)</f>
        <v/>
      </c>
    </row>
    <row r="181">
      <c r="Q181" t="inlineStr">
        <is>
          <t>Río Logística</t>
        </is>
      </c>
      <c r="R181">
        <f>COUNTIF(Datos!$C$2:$C$481,Q181)</f>
        <v/>
      </c>
      <c r="S181" s="3">
        <f>SUMIFS(Datos!$J$2:$J$481,Datos!$C$2:$C$481,Q181)</f>
        <v/>
      </c>
    </row>
    <row r="182">
      <c r="Q182" t="inlineStr">
        <is>
          <t>Río Ltda.</t>
        </is>
      </c>
      <c r="R182">
        <f>COUNTIF(Datos!$C$2:$C$481,Q182)</f>
        <v/>
      </c>
      <c r="S182" s="3">
        <f>SUMIFS(Datos!$J$2:$J$481,Datos!$C$2:$C$481,Q182)</f>
        <v/>
      </c>
    </row>
    <row r="183">
      <c r="Q183" t="inlineStr">
        <is>
          <t>Río Retail</t>
        </is>
      </c>
      <c r="R183">
        <f>COUNTIF(Datos!$C$2:$C$481,Q183)</f>
        <v/>
      </c>
      <c r="S183" s="3">
        <f>SUMIFS(Datos!$J$2:$J$481,Datos!$C$2:$C$481,Q183)</f>
        <v/>
      </c>
    </row>
    <row r="184">
      <c r="Q184" t="inlineStr">
        <is>
          <t>Río S.A.</t>
        </is>
      </c>
      <c r="R184">
        <f>COUNTIF(Datos!$C$2:$C$481,Q184)</f>
        <v/>
      </c>
      <c r="S184" s="3">
        <f>SUMIFS(Datos!$J$2:$J$481,Datos!$C$2:$C$481,Q184)</f>
        <v/>
      </c>
    </row>
    <row r="185">
      <c r="Q185" t="inlineStr">
        <is>
          <t>Río S.A.C.</t>
        </is>
      </c>
      <c r="R185">
        <f>COUNTIF(Datos!$C$2:$C$481,Q185)</f>
        <v/>
      </c>
      <c r="S185" s="3">
        <f>SUMIFS(Datos!$J$2:$J$481,Datos!$C$2:$C$481,Q185)</f>
        <v/>
      </c>
    </row>
    <row r="186">
      <c r="Q186" t="inlineStr">
        <is>
          <t>Río Servicios</t>
        </is>
      </c>
      <c r="R186">
        <f>COUNTIF(Datos!$C$2:$C$481,Q186)</f>
        <v/>
      </c>
      <c r="S186" s="3">
        <f>SUMIFS(Datos!$J$2:$J$481,Datos!$C$2:$C$481,Q186)</f>
        <v/>
      </c>
    </row>
    <row r="187">
      <c r="Q187" t="inlineStr">
        <is>
          <t>Río Tech</t>
        </is>
      </c>
      <c r="R187">
        <f>COUNTIF(Datos!$C$2:$C$481,Q187)</f>
        <v/>
      </c>
      <c r="S187" s="3">
        <f>SUMIFS(Datos!$J$2:$J$481,Datos!$C$2:$C$481,Q187)</f>
        <v/>
      </c>
    </row>
    <row r="188">
      <c r="Q188" t="inlineStr">
        <is>
          <t>Sol Comercial</t>
        </is>
      </c>
      <c r="R188">
        <f>COUNTIF(Datos!$C$2:$C$481,Q188)</f>
        <v/>
      </c>
      <c r="S188" s="3">
        <f>SUMIFS(Datos!$J$2:$J$481,Datos!$C$2:$C$481,Q188)</f>
        <v/>
      </c>
    </row>
    <row r="189">
      <c r="Q189" t="inlineStr">
        <is>
          <t>Sol Foods</t>
        </is>
      </c>
      <c r="R189">
        <f>COUNTIF(Datos!$C$2:$C$481,Q189)</f>
        <v/>
      </c>
      <c r="S189" s="3">
        <f>SUMIFS(Datos!$J$2:$J$481,Datos!$C$2:$C$481,Q189)</f>
        <v/>
      </c>
    </row>
    <row r="190">
      <c r="Q190" t="inlineStr">
        <is>
          <t>Sol Group</t>
        </is>
      </c>
      <c r="R190">
        <f>COUNTIF(Datos!$C$2:$C$481,Q190)</f>
        <v/>
      </c>
      <c r="S190" s="3">
        <f>SUMIFS(Datos!$J$2:$J$481,Datos!$C$2:$C$481,Q190)</f>
        <v/>
      </c>
    </row>
    <row r="191">
      <c r="Q191" t="inlineStr">
        <is>
          <t>Sol Import</t>
        </is>
      </c>
      <c r="R191">
        <f>COUNTIF(Datos!$C$2:$C$481,Q191)</f>
        <v/>
      </c>
      <c r="S191" s="3">
        <f>SUMIFS(Datos!$J$2:$J$481,Datos!$C$2:$C$481,Q191)</f>
        <v/>
      </c>
    </row>
    <row r="192">
      <c r="Q192" t="inlineStr">
        <is>
          <t>Sol Logística</t>
        </is>
      </c>
      <c r="R192">
        <f>COUNTIF(Datos!$C$2:$C$481,Q192)</f>
        <v/>
      </c>
      <c r="S192" s="3">
        <f>SUMIFS(Datos!$J$2:$J$481,Datos!$C$2:$C$481,Q192)</f>
        <v/>
      </c>
    </row>
    <row r="193">
      <c r="Q193" t="inlineStr">
        <is>
          <t>Sol Ltda.</t>
        </is>
      </c>
      <c r="R193">
        <f>COUNTIF(Datos!$C$2:$C$481,Q193)</f>
        <v/>
      </c>
      <c r="S193" s="3">
        <f>SUMIFS(Datos!$J$2:$J$481,Datos!$C$2:$C$481,Q193)</f>
        <v/>
      </c>
    </row>
    <row r="194">
      <c r="Q194" t="inlineStr">
        <is>
          <t>Sol Retail</t>
        </is>
      </c>
      <c r="R194">
        <f>COUNTIF(Datos!$C$2:$C$481,Q194)</f>
        <v/>
      </c>
      <c r="S194" s="3">
        <f>SUMIFS(Datos!$J$2:$J$481,Datos!$C$2:$C$481,Q194)</f>
        <v/>
      </c>
    </row>
    <row r="195">
      <c r="Q195" t="inlineStr">
        <is>
          <t>Sol S.A.</t>
        </is>
      </c>
      <c r="R195">
        <f>COUNTIF(Datos!$C$2:$C$481,Q195)</f>
        <v/>
      </c>
      <c r="S195" s="3">
        <f>SUMIFS(Datos!$J$2:$J$481,Datos!$C$2:$C$481,Q195)</f>
        <v/>
      </c>
    </row>
    <row r="196">
      <c r="Q196" t="inlineStr">
        <is>
          <t>Sol S.A.C.</t>
        </is>
      </c>
      <c r="R196">
        <f>COUNTIF(Datos!$C$2:$C$481,Q196)</f>
        <v/>
      </c>
      <c r="S196" s="3">
        <f>SUMIFS(Datos!$J$2:$J$481,Datos!$C$2:$C$481,Q196)</f>
        <v/>
      </c>
    </row>
    <row r="197">
      <c r="Q197" t="inlineStr">
        <is>
          <t>Sol Servicios</t>
        </is>
      </c>
      <c r="R197">
        <f>COUNTIF(Datos!$C$2:$C$481,Q197)</f>
        <v/>
      </c>
      <c r="S197" s="3">
        <f>SUMIFS(Datos!$J$2:$J$481,Datos!$C$2:$C$481,Q197)</f>
        <v/>
      </c>
    </row>
    <row r="198">
      <c r="Q198" t="inlineStr">
        <is>
          <t>Sol Tech</t>
        </is>
      </c>
      <c r="R198">
        <f>COUNTIF(Datos!$C$2:$C$481,Q198)</f>
        <v/>
      </c>
      <c r="S198" s="3">
        <f>SUMIFS(Datos!$J$2:$J$481,Datos!$C$2:$C$481,Q198)</f>
        <v/>
      </c>
    </row>
    <row r="199">
      <c r="Q199" t="inlineStr">
        <is>
          <t>Tika Comercial</t>
        </is>
      </c>
      <c r="R199">
        <f>COUNTIF(Datos!$C$2:$C$481,Q199)</f>
        <v/>
      </c>
      <c r="S199" s="3">
        <f>SUMIFS(Datos!$J$2:$J$481,Datos!$C$2:$C$481,Q199)</f>
        <v/>
      </c>
    </row>
    <row r="200">
      <c r="Q200" t="inlineStr">
        <is>
          <t>Tika Foods</t>
        </is>
      </c>
      <c r="R200">
        <f>COUNTIF(Datos!$C$2:$C$481,Q200)</f>
        <v/>
      </c>
      <c r="S200" s="3">
        <f>SUMIFS(Datos!$J$2:$J$481,Datos!$C$2:$C$481,Q200)</f>
        <v/>
      </c>
    </row>
    <row r="201">
      <c r="Q201" t="inlineStr">
        <is>
          <t>Tika Group</t>
        </is>
      </c>
      <c r="R201">
        <f>COUNTIF(Datos!$C$2:$C$481,Q201)</f>
        <v/>
      </c>
      <c r="S201" s="3">
        <f>SUMIFS(Datos!$J$2:$J$481,Datos!$C$2:$C$481,Q201)</f>
        <v/>
      </c>
    </row>
    <row r="202">
      <c r="Q202" t="inlineStr">
        <is>
          <t>Tika Import</t>
        </is>
      </c>
      <c r="R202">
        <f>COUNTIF(Datos!$C$2:$C$481,Q202)</f>
        <v/>
      </c>
      <c r="S202" s="3">
        <f>SUMIFS(Datos!$J$2:$J$481,Datos!$C$2:$C$481,Q202)</f>
        <v/>
      </c>
    </row>
    <row r="203">
      <c r="Q203" t="inlineStr">
        <is>
          <t>Tika Logística</t>
        </is>
      </c>
      <c r="R203">
        <f>COUNTIF(Datos!$C$2:$C$481,Q203)</f>
        <v/>
      </c>
      <c r="S203" s="3">
        <f>SUMIFS(Datos!$J$2:$J$481,Datos!$C$2:$C$481,Q203)</f>
        <v/>
      </c>
    </row>
    <row r="204">
      <c r="Q204" t="inlineStr">
        <is>
          <t>Tika Ltda.</t>
        </is>
      </c>
      <c r="R204">
        <f>COUNTIF(Datos!$C$2:$C$481,Q204)</f>
        <v/>
      </c>
      <c r="S204" s="3">
        <f>SUMIFS(Datos!$J$2:$J$481,Datos!$C$2:$C$481,Q204)</f>
        <v/>
      </c>
    </row>
    <row r="205">
      <c r="Q205" t="inlineStr">
        <is>
          <t>Tika Retail</t>
        </is>
      </c>
      <c r="R205">
        <f>COUNTIF(Datos!$C$2:$C$481,Q205)</f>
        <v/>
      </c>
      <c r="S205" s="3">
        <f>SUMIFS(Datos!$J$2:$J$481,Datos!$C$2:$C$481,Q205)</f>
        <v/>
      </c>
    </row>
    <row r="206">
      <c r="Q206" t="inlineStr">
        <is>
          <t>Tika S.A.</t>
        </is>
      </c>
      <c r="R206">
        <f>COUNTIF(Datos!$C$2:$C$481,Q206)</f>
        <v/>
      </c>
      <c r="S206" s="3">
        <f>SUMIFS(Datos!$J$2:$J$481,Datos!$C$2:$C$481,Q206)</f>
        <v/>
      </c>
    </row>
    <row r="207">
      <c r="Q207" t="inlineStr">
        <is>
          <t>Tika S.A.C.</t>
        </is>
      </c>
      <c r="R207">
        <f>COUNTIF(Datos!$C$2:$C$481,Q207)</f>
        <v/>
      </c>
      <c r="S207" s="3">
        <f>SUMIFS(Datos!$J$2:$J$481,Datos!$C$2:$C$481,Q207)</f>
        <v/>
      </c>
    </row>
    <row r="208">
      <c r="Q208" t="inlineStr">
        <is>
          <t>Tika Servicios</t>
        </is>
      </c>
      <c r="R208">
        <f>COUNTIF(Datos!$C$2:$C$481,Q208)</f>
        <v/>
      </c>
      <c r="S208" s="3">
        <f>SUMIFS(Datos!$J$2:$J$481,Datos!$C$2:$C$481,Q208)</f>
        <v/>
      </c>
    </row>
    <row r="209">
      <c r="Q209" t="inlineStr">
        <is>
          <t>Tika Tech</t>
        </is>
      </c>
      <c r="R209">
        <f>COUNTIF(Datos!$C$2:$C$481,Q209)</f>
        <v/>
      </c>
      <c r="S209" s="3">
        <f>SUMIFS(Datos!$J$2:$J$481,Datos!$C$2:$C$481,Q209)</f>
        <v/>
      </c>
    </row>
    <row r="210">
      <c r="Q210" t="inlineStr">
        <is>
          <t>Ícaro Comercial</t>
        </is>
      </c>
      <c r="R210">
        <f>COUNTIF(Datos!$C$2:$C$481,Q210)</f>
        <v/>
      </c>
      <c r="S210" s="3">
        <f>SUMIFS(Datos!$J$2:$J$481,Datos!$C$2:$C$481,Q210)</f>
        <v/>
      </c>
    </row>
    <row r="211">
      <c r="Q211" t="inlineStr">
        <is>
          <t>Ícaro Foods</t>
        </is>
      </c>
      <c r="R211">
        <f>COUNTIF(Datos!$C$2:$C$481,Q211)</f>
        <v/>
      </c>
      <c r="S211" s="3">
        <f>SUMIFS(Datos!$J$2:$J$481,Datos!$C$2:$C$481,Q211)</f>
        <v/>
      </c>
    </row>
    <row r="212">
      <c r="Q212" t="inlineStr">
        <is>
          <t>Ícaro Group</t>
        </is>
      </c>
      <c r="R212">
        <f>COUNTIF(Datos!$C$2:$C$481,Q212)</f>
        <v/>
      </c>
      <c r="S212" s="3">
        <f>SUMIFS(Datos!$J$2:$J$481,Datos!$C$2:$C$481,Q212)</f>
        <v/>
      </c>
    </row>
    <row r="213">
      <c r="Q213" t="inlineStr">
        <is>
          <t>Ícaro Import</t>
        </is>
      </c>
      <c r="R213">
        <f>COUNTIF(Datos!$C$2:$C$481,Q213)</f>
        <v/>
      </c>
      <c r="S213" s="3">
        <f>SUMIFS(Datos!$J$2:$J$481,Datos!$C$2:$C$481,Q213)</f>
        <v/>
      </c>
    </row>
    <row r="214">
      <c r="Q214" t="inlineStr">
        <is>
          <t>Ícaro Ltda.</t>
        </is>
      </c>
      <c r="R214">
        <f>COUNTIF(Datos!$C$2:$C$481,Q214)</f>
        <v/>
      </c>
      <c r="S214" s="3">
        <f>SUMIFS(Datos!$J$2:$J$481,Datos!$C$2:$C$481,Q214)</f>
        <v/>
      </c>
    </row>
    <row r="215">
      <c r="Q215" t="inlineStr">
        <is>
          <t>Ícaro Retail</t>
        </is>
      </c>
      <c r="R215">
        <f>COUNTIF(Datos!$C$2:$C$481,Q215)</f>
        <v/>
      </c>
      <c r="S215" s="3">
        <f>SUMIFS(Datos!$J$2:$J$481,Datos!$C$2:$C$481,Q215)</f>
        <v/>
      </c>
    </row>
    <row r="216">
      <c r="Q216" t="inlineStr">
        <is>
          <t>Ícaro S.A.</t>
        </is>
      </c>
      <c r="R216">
        <f>COUNTIF(Datos!$C$2:$C$481,Q216)</f>
        <v/>
      </c>
      <c r="S216" s="3">
        <f>SUMIFS(Datos!$J$2:$J$481,Datos!$C$2:$C$481,Q216)</f>
        <v/>
      </c>
    </row>
    <row r="217">
      <c r="Q217" t="inlineStr">
        <is>
          <t>Ícaro S.A.C.</t>
        </is>
      </c>
      <c r="R217">
        <f>COUNTIF(Datos!$C$2:$C$481,Q217)</f>
        <v/>
      </c>
      <c r="S217" s="3">
        <f>SUMIFS(Datos!$J$2:$J$481,Datos!$C$2:$C$481,Q217)</f>
        <v/>
      </c>
    </row>
    <row r="218">
      <c r="Q218" t="inlineStr">
        <is>
          <t>Ícaro Servicios</t>
        </is>
      </c>
      <c r="R218">
        <f>COUNTIF(Datos!$C$2:$C$481,Q218)</f>
        <v/>
      </c>
      <c r="S218" s="3">
        <f>SUMIFS(Datos!$J$2:$J$481,Datos!$C$2:$C$481,Q218)</f>
        <v/>
      </c>
    </row>
    <row r="219">
      <c r="Q219" t="inlineStr">
        <is>
          <t>Ícaro Tech</t>
        </is>
      </c>
      <c r="R219">
        <f>COUNTIF(Datos!$C$2:$C$481,Q219)</f>
        <v/>
      </c>
      <c r="S219" s="3">
        <f>SUMIFS(Datos!$J$2:$J$481,Datos!$C$2:$C$481,Q219)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2026-10-13T22:13:28Z</dcterms:created>
  <dcterms:modified xmlns:dcterms="http://purl.org/dc/terms/" xmlns:xsi="http://www.w3.org/2001/XMLSchema-instance" xsi:type="dcterms:W3CDTF">2026-10-13T22:13:28Z</dcterms:modified>
</cp:coreProperties>
</file>